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ckson\Documents\ecc\scoring_model\data\"/>
    </mc:Choice>
  </mc:AlternateContent>
  <xr:revisionPtr revIDLastSave="0" documentId="13_ncr:1_{40B44F45-ABAB-4E73-85AA-3CAFD0F6767E}" xr6:coauthVersionLast="47" xr6:coauthVersionMax="47" xr10:uidLastSave="{00000000-0000-0000-0000-000000000000}"/>
  <bookViews>
    <workbookView xWindow="-120" yWindow="-120" windowWidth="29040" windowHeight="15720" firstSheet="2" activeTab="21" xr2:uid="{00000000-000D-0000-FFFF-FFFF00000000}"/>
  </bookViews>
  <sheets>
    <sheet name="L4440" sheetId="1" r:id="rId1"/>
    <sheet name="g2" sheetId="2" r:id="rId2"/>
    <sheet name="g3" sheetId="3" r:id="rId3"/>
    <sheet name="g4" sheetId="4" r:id="rId4"/>
    <sheet name="g5" sheetId="5" r:id="rId5"/>
    <sheet name="g6" sheetId="6" r:id="rId6"/>
    <sheet name="g7" sheetId="7" r:id="rId7"/>
    <sheet name="g8" sheetId="8" r:id="rId8"/>
    <sheet name="g9" sheetId="9" r:id="rId9"/>
    <sheet name="g10" sheetId="10" r:id="rId10"/>
    <sheet name="g11" sheetId="11" r:id="rId11"/>
    <sheet name="g12" sheetId="12" r:id="rId12"/>
    <sheet name="g13" sheetId="13" r:id="rId13"/>
    <sheet name="g15" sheetId="14" r:id="rId14"/>
    <sheet name="g14" sheetId="15" r:id="rId15"/>
    <sheet name="g17" sheetId="16" r:id="rId16"/>
    <sheet name="g18" sheetId="17" r:id="rId17"/>
    <sheet name="g19" sheetId="18" r:id="rId18"/>
    <sheet name="g20" sheetId="19" r:id="rId19"/>
    <sheet name="g21" sheetId="20" r:id="rId20"/>
    <sheet name="scores" sheetId="21" r:id="rId21"/>
    <sheet name="sgRNAs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" roundtripDataChecksum="7MmxplIId1yOdJIrazSxHqF9pNzkY/nJHNbzXSB/xUI="/>
    </ext>
  </extLst>
</workbook>
</file>

<file path=xl/calcChain.xml><?xml version="1.0" encoding="utf-8"?>
<calcChain xmlns="http://schemas.openxmlformats.org/spreadsheetml/2006/main">
  <c r="G17" i="22" l="1"/>
  <c r="H17" i="22"/>
  <c r="G18" i="22"/>
  <c r="H18" i="22"/>
  <c r="G19" i="22"/>
  <c r="H19" i="22"/>
  <c r="G20" i="22"/>
  <c r="H20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H3" i="22"/>
  <c r="G3" i="22"/>
  <c r="M1" i="14"/>
  <c r="M10" i="14" s="1"/>
  <c r="L10" i="14"/>
  <c r="L9" i="14"/>
  <c r="L8" i="14"/>
  <c r="L7" i="14"/>
  <c r="L6" i="14"/>
  <c r="L5" i="14"/>
  <c r="L4" i="14"/>
  <c r="L3" i="14"/>
  <c r="P10" i="3"/>
  <c r="P8" i="3"/>
  <c r="P5" i="3"/>
  <c r="C3" i="3"/>
  <c r="C4" i="3"/>
  <c r="C5" i="3"/>
  <c r="C6" i="3"/>
  <c r="C7" i="3"/>
  <c r="C8" i="3"/>
  <c r="C9" i="3"/>
  <c r="C10" i="3"/>
  <c r="O5" i="5"/>
  <c r="L10" i="20"/>
  <c r="M10" i="20" s="1"/>
  <c r="L9" i="20"/>
  <c r="M9" i="20" s="1"/>
  <c r="L8" i="20"/>
  <c r="M8" i="20" s="1"/>
  <c r="L7" i="20"/>
  <c r="L6" i="20"/>
  <c r="M6" i="20" s="1"/>
  <c r="L5" i="20"/>
  <c r="L4" i="20"/>
  <c r="M4" i="20" s="1"/>
  <c r="O3" i="20"/>
  <c r="O4" i="20" s="1"/>
  <c r="O5" i="20" s="1"/>
  <c r="O6" i="20" s="1"/>
  <c r="O7" i="20" s="1"/>
  <c r="O8" i="20" s="1"/>
  <c r="O9" i="20" s="1"/>
  <c r="O10" i="20" s="1"/>
  <c r="L3" i="20"/>
  <c r="M1" i="20"/>
  <c r="M5" i="20" s="1"/>
  <c r="L10" i="19"/>
  <c r="M9" i="19"/>
  <c r="L9" i="19"/>
  <c r="M8" i="19"/>
  <c r="L8" i="19"/>
  <c r="L7" i="19"/>
  <c r="M7" i="19" s="1"/>
  <c r="L6" i="19"/>
  <c r="L5" i="19"/>
  <c r="L4" i="19"/>
  <c r="M4" i="19" s="1"/>
  <c r="O3" i="19"/>
  <c r="O4" i="19" s="1"/>
  <c r="O5" i="19" s="1"/>
  <c r="O6" i="19" s="1"/>
  <c r="O7" i="19" s="1"/>
  <c r="O8" i="19" s="1"/>
  <c r="O9" i="19" s="1"/>
  <c r="O10" i="19" s="1"/>
  <c r="L3" i="19"/>
  <c r="M3" i="19" s="1"/>
  <c r="M1" i="19"/>
  <c r="M5" i="19" s="1"/>
  <c r="L10" i="18"/>
  <c r="M10" i="18" s="1"/>
  <c r="M9" i="18"/>
  <c r="L9" i="18"/>
  <c r="M8" i="18"/>
  <c r="L8" i="18"/>
  <c r="L7" i="18"/>
  <c r="M7" i="18" s="1"/>
  <c r="L6" i="18"/>
  <c r="M6" i="18" s="1"/>
  <c r="L5" i="18"/>
  <c r="M4" i="18"/>
  <c r="L4" i="18"/>
  <c r="O3" i="18"/>
  <c r="O4" i="18" s="1"/>
  <c r="O5" i="18" s="1"/>
  <c r="O6" i="18" s="1"/>
  <c r="O7" i="18" s="1"/>
  <c r="O8" i="18" s="1"/>
  <c r="O9" i="18" s="1"/>
  <c r="O10" i="18" s="1"/>
  <c r="L3" i="18"/>
  <c r="M3" i="18" s="1"/>
  <c r="M1" i="18"/>
  <c r="M5" i="18" s="1"/>
  <c r="L10" i="17"/>
  <c r="M10" i="17" s="1"/>
  <c r="M9" i="17"/>
  <c r="L9" i="17"/>
  <c r="M8" i="17"/>
  <c r="L8" i="17"/>
  <c r="M7" i="17"/>
  <c r="L7" i="17"/>
  <c r="L6" i="17"/>
  <c r="M6" i="17" s="1"/>
  <c r="L5" i="17"/>
  <c r="M5" i="17" s="1"/>
  <c r="O4" i="17"/>
  <c r="O5" i="17" s="1"/>
  <c r="O6" i="17" s="1"/>
  <c r="O7" i="17" s="1"/>
  <c r="O8" i="17" s="1"/>
  <c r="O9" i="17" s="1"/>
  <c r="O10" i="17" s="1"/>
  <c r="L4" i="17"/>
  <c r="M4" i="17" s="1"/>
  <c r="O3" i="17"/>
  <c r="M3" i="17"/>
  <c r="L3" i="17"/>
  <c r="M1" i="17"/>
  <c r="M10" i="16"/>
  <c r="L10" i="16"/>
  <c r="L9" i="16"/>
  <c r="M9" i="16" s="1"/>
  <c r="L8" i="16"/>
  <c r="M8" i="16" s="1"/>
  <c r="L7" i="16"/>
  <c r="M7" i="16" s="1"/>
  <c r="M6" i="16"/>
  <c r="L6" i="16"/>
  <c r="L5" i="16"/>
  <c r="M5" i="16" s="1"/>
  <c r="M4" i="16"/>
  <c r="L4" i="16"/>
  <c r="O3" i="16"/>
  <c r="O4" i="16" s="1"/>
  <c r="O5" i="16" s="1"/>
  <c r="O6" i="16" s="1"/>
  <c r="O7" i="16" s="1"/>
  <c r="O8" i="16" s="1"/>
  <c r="O9" i="16" s="1"/>
  <c r="O10" i="16" s="1"/>
  <c r="M3" i="16"/>
  <c r="L3" i="16"/>
  <c r="M1" i="16"/>
  <c r="L10" i="15"/>
  <c r="M10" i="15" s="1"/>
  <c r="L9" i="15"/>
  <c r="L8" i="15"/>
  <c r="M8" i="15" s="1"/>
  <c r="L7" i="15"/>
  <c r="L6" i="15"/>
  <c r="L5" i="15"/>
  <c r="L4" i="15"/>
  <c r="M4" i="15" s="1"/>
  <c r="O3" i="15"/>
  <c r="O4" i="15" s="1"/>
  <c r="O5" i="15" s="1"/>
  <c r="O6" i="15" s="1"/>
  <c r="O7" i="15" s="1"/>
  <c r="O8" i="15" s="1"/>
  <c r="O9" i="15" s="1"/>
  <c r="O10" i="15" s="1"/>
  <c r="L3" i="15"/>
  <c r="M3" i="15" s="1"/>
  <c r="M1" i="15"/>
  <c r="M9" i="15" s="1"/>
  <c r="O3" i="14"/>
  <c r="O4" i="14" s="1"/>
  <c r="O5" i="14" s="1"/>
  <c r="O6" i="14" s="1"/>
  <c r="O7" i="14" s="1"/>
  <c r="O8" i="14" s="1"/>
  <c r="O9" i="14" s="1"/>
  <c r="O10" i="14" s="1"/>
  <c r="L10" i="13"/>
  <c r="M9" i="13"/>
  <c r="L9" i="13"/>
  <c r="M8" i="13"/>
  <c r="L8" i="13"/>
  <c r="L7" i="13"/>
  <c r="M7" i="13" s="1"/>
  <c r="L6" i="13"/>
  <c r="L5" i="13"/>
  <c r="L4" i="13"/>
  <c r="M4" i="13" s="1"/>
  <c r="O3" i="13"/>
  <c r="O4" i="13" s="1"/>
  <c r="O5" i="13" s="1"/>
  <c r="O6" i="13" s="1"/>
  <c r="O7" i="13" s="1"/>
  <c r="O8" i="13" s="1"/>
  <c r="O9" i="13" s="1"/>
  <c r="O10" i="13" s="1"/>
  <c r="L3" i="13"/>
  <c r="M3" i="13" s="1"/>
  <c r="M1" i="13"/>
  <c r="M6" i="13" s="1"/>
  <c r="L10" i="12"/>
  <c r="M10" i="12" s="1"/>
  <c r="M9" i="12"/>
  <c r="L9" i="12"/>
  <c r="M8" i="12"/>
  <c r="L8" i="12"/>
  <c r="L7" i="12"/>
  <c r="M7" i="12" s="1"/>
  <c r="L6" i="12"/>
  <c r="M6" i="12" s="1"/>
  <c r="L5" i="12"/>
  <c r="O4" i="12"/>
  <c r="O5" i="12" s="1"/>
  <c r="O6" i="12" s="1"/>
  <c r="O7" i="12" s="1"/>
  <c r="O8" i="12" s="1"/>
  <c r="O9" i="12" s="1"/>
  <c r="O10" i="12" s="1"/>
  <c r="M4" i="12"/>
  <c r="L4" i="12"/>
  <c r="O3" i="12"/>
  <c r="M3" i="12"/>
  <c r="L3" i="12"/>
  <c r="M1" i="12"/>
  <c r="M5" i="12" s="1"/>
  <c r="L10" i="11"/>
  <c r="M10" i="11" s="1"/>
  <c r="L9" i="11"/>
  <c r="M9" i="11" s="1"/>
  <c r="M8" i="11"/>
  <c r="L8" i="11"/>
  <c r="M7" i="11"/>
  <c r="L7" i="11"/>
  <c r="M6" i="11"/>
  <c r="L6" i="11"/>
  <c r="L5" i="11"/>
  <c r="M5" i="11" s="1"/>
  <c r="M4" i="11"/>
  <c r="L4" i="11"/>
  <c r="O3" i="11"/>
  <c r="O4" i="11" s="1"/>
  <c r="O5" i="11" s="1"/>
  <c r="O6" i="11" s="1"/>
  <c r="O7" i="11" s="1"/>
  <c r="O8" i="11" s="1"/>
  <c r="O9" i="11" s="1"/>
  <c r="O10" i="11" s="1"/>
  <c r="M3" i="11"/>
  <c r="L3" i="11"/>
  <c r="M1" i="11"/>
  <c r="M10" i="10"/>
  <c r="L10" i="10"/>
  <c r="M9" i="10"/>
  <c r="L9" i="10"/>
  <c r="L8" i="10"/>
  <c r="M8" i="10" s="1"/>
  <c r="L7" i="10"/>
  <c r="L6" i="10"/>
  <c r="L5" i="10"/>
  <c r="M5" i="10" s="1"/>
  <c r="L4" i="10"/>
  <c r="M4" i="10" s="1"/>
  <c r="O3" i="10"/>
  <c r="O4" i="10" s="1"/>
  <c r="O5" i="10" s="1"/>
  <c r="O6" i="10" s="1"/>
  <c r="O7" i="10" s="1"/>
  <c r="O8" i="10" s="1"/>
  <c r="O9" i="10" s="1"/>
  <c r="O10" i="10" s="1"/>
  <c r="L3" i="10"/>
  <c r="M1" i="10"/>
  <c r="M7" i="10" s="1"/>
  <c r="L10" i="9"/>
  <c r="L9" i="9"/>
  <c r="L8" i="9"/>
  <c r="M8" i="9" s="1"/>
  <c r="L7" i="9"/>
  <c r="M7" i="9" s="1"/>
  <c r="L6" i="9"/>
  <c r="L5" i="9"/>
  <c r="L4" i="9"/>
  <c r="O3" i="9"/>
  <c r="O4" i="9" s="1"/>
  <c r="O5" i="9" s="1"/>
  <c r="O6" i="9" s="1"/>
  <c r="O7" i="9" s="1"/>
  <c r="O8" i="9" s="1"/>
  <c r="O9" i="9" s="1"/>
  <c r="O10" i="9" s="1"/>
  <c r="L3" i="9"/>
  <c r="M3" i="9" s="1"/>
  <c r="M1" i="9"/>
  <c r="M5" i="9" s="1"/>
  <c r="L10" i="8"/>
  <c r="M10" i="8" s="1"/>
  <c r="L9" i="8"/>
  <c r="M8" i="8"/>
  <c r="L8" i="8"/>
  <c r="M7" i="8"/>
  <c r="L7" i="8"/>
  <c r="L6" i="8"/>
  <c r="M6" i="8" s="1"/>
  <c r="L5" i="8"/>
  <c r="O4" i="8"/>
  <c r="O5" i="8" s="1"/>
  <c r="O6" i="8" s="1"/>
  <c r="O7" i="8" s="1"/>
  <c r="O8" i="8" s="1"/>
  <c r="O9" i="8" s="1"/>
  <c r="O10" i="8" s="1"/>
  <c r="L4" i="8"/>
  <c r="O3" i="8"/>
  <c r="L3" i="8"/>
  <c r="M3" i="8" s="1"/>
  <c r="M1" i="8"/>
  <c r="M5" i="8" s="1"/>
  <c r="M10" i="7"/>
  <c r="L10" i="7"/>
  <c r="L9" i="7"/>
  <c r="M9" i="7" s="1"/>
  <c r="M8" i="7"/>
  <c r="L8" i="7"/>
  <c r="M7" i="7"/>
  <c r="L7" i="7"/>
  <c r="L6" i="7"/>
  <c r="M6" i="7" s="1"/>
  <c r="L5" i="7"/>
  <c r="M5" i="7" s="1"/>
  <c r="M4" i="7"/>
  <c r="L4" i="7"/>
  <c r="O3" i="7"/>
  <c r="O4" i="7" s="1"/>
  <c r="O5" i="7" s="1"/>
  <c r="O6" i="7" s="1"/>
  <c r="O7" i="7" s="1"/>
  <c r="O8" i="7" s="1"/>
  <c r="O9" i="7" s="1"/>
  <c r="O10" i="7" s="1"/>
  <c r="M3" i="7"/>
  <c r="L3" i="7"/>
  <c r="M1" i="7"/>
  <c r="L10" i="6"/>
  <c r="L9" i="6"/>
  <c r="M9" i="6" s="1"/>
  <c r="L8" i="6"/>
  <c r="M8" i="6" s="1"/>
  <c r="L7" i="6"/>
  <c r="L6" i="6"/>
  <c r="M5" i="6"/>
  <c r="L5" i="6"/>
  <c r="L4" i="6"/>
  <c r="M4" i="6" s="1"/>
  <c r="O3" i="6"/>
  <c r="O4" i="6" s="1"/>
  <c r="O5" i="6" s="1"/>
  <c r="O6" i="6" s="1"/>
  <c r="O7" i="6" s="1"/>
  <c r="O8" i="6" s="1"/>
  <c r="O9" i="6" s="1"/>
  <c r="O10" i="6" s="1"/>
  <c r="L3" i="6"/>
  <c r="M1" i="6"/>
  <c r="M6" i="6" s="1"/>
  <c r="L10" i="5"/>
  <c r="M9" i="5"/>
  <c r="L9" i="5"/>
  <c r="M8" i="5"/>
  <c r="L8" i="5"/>
  <c r="L7" i="5"/>
  <c r="M7" i="5" s="1"/>
  <c r="M6" i="5"/>
  <c r="L6" i="5"/>
  <c r="L5" i="5"/>
  <c r="L4" i="5"/>
  <c r="M4" i="5" s="1"/>
  <c r="O3" i="5"/>
  <c r="O4" i="5" s="1"/>
  <c r="L3" i="5"/>
  <c r="M3" i="5" s="1"/>
  <c r="M1" i="5"/>
  <c r="M5" i="5" s="1"/>
  <c r="L10" i="4"/>
  <c r="M10" i="4" s="1"/>
  <c r="M9" i="4"/>
  <c r="L9" i="4"/>
  <c r="M8" i="4"/>
  <c r="L8" i="4"/>
  <c r="L7" i="4"/>
  <c r="M7" i="4" s="1"/>
  <c r="L6" i="4"/>
  <c r="M6" i="4" s="1"/>
  <c r="L5" i="4"/>
  <c r="O4" i="4"/>
  <c r="O5" i="4" s="1"/>
  <c r="O6" i="4" s="1"/>
  <c r="O7" i="4" s="1"/>
  <c r="O8" i="4" s="1"/>
  <c r="O9" i="4" s="1"/>
  <c r="O10" i="4" s="1"/>
  <c r="M4" i="4"/>
  <c r="L4" i="4"/>
  <c r="O3" i="4"/>
  <c r="M3" i="4"/>
  <c r="L3" i="4"/>
  <c r="M1" i="4"/>
  <c r="M5" i="4" s="1"/>
  <c r="M10" i="3"/>
  <c r="M9" i="3"/>
  <c r="M8" i="3"/>
  <c r="N8" i="3" s="1"/>
  <c r="N7" i="3"/>
  <c r="M7" i="3"/>
  <c r="M6" i="3"/>
  <c r="N6" i="3" s="1"/>
  <c r="M5" i="3"/>
  <c r="M4" i="3"/>
  <c r="N4" i="3" s="1"/>
  <c r="P3" i="3"/>
  <c r="P4" i="3" s="1"/>
  <c r="N3" i="3"/>
  <c r="M3" i="3"/>
  <c r="N1" i="3"/>
  <c r="M10" i="2"/>
  <c r="L10" i="2"/>
  <c r="M9" i="2"/>
  <c r="L9" i="2"/>
  <c r="L8" i="2"/>
  <c r="M8" i="2" s="1"/>
  <c r="L7" i="2"/>
  <c r="L6" i="2"/>
  <c r="L5" i="2"/>
  <c r="M5" i="2" s="1"/>
  <c r="O4" i="2"/>
  <c r="O5" i="2" s="1"/>
  <c r="O6" i="2" s="1"/>
  <c r="O7" i="2" s="1"/>
  <c r="O8" i="2" s="1"/>
  <c r="O9" i="2" s="1"/>
  <c r="O10" i="2" s="1"/>
  <c r="L4" i="2"/>
  <c r="M4" i="2" s="1"/>
  <c r="O3" i="2"/>
  <c r="L3" i="2"/>
  <c r="M1" i="2"/>
  <c r="M7" i="2" s="1"/>
  <c r="L10" i="1"/>
  <c r="L9" i="1"/>
  <c r="M8" i="1"/>
  <c r="L8" i="1"/>
  <c r="M7" i="1"/>
  <c r="L7" i="1"/>
  <c r="M6" i="1"/>
  <c r="L6" i="1"/>
  <c r="L5" i="1"/>
  <c r="M5" i="1" s="1"/>
  <c r="M4" i="1"/>
  <c r="L4" i="1"/>
  <c r="O3" i="1"/>
  <c r="O4" i="1" s="1"/>
  <c r="O5" i="1" s="1"/>
  <c r="O6" i="1" s="1"/>
  <c r="O7" i="1" s="1"/>
  <c r="O8" i="1" s="1"/>
  <c r="O9" i="1" s="1"/>
  <c r="O10" i="1" s="1"/>
  <c r="M3" i="1"/>
  <c r="L3" i="1"/>
  <c r="M1" i="1"/>
  <c r="M8" i="14" l="1"/>
  <c r="M4" i="14"/>
  <c r="M6" i="14"/>
  <c r="M9" i="14"/>
  <c r="M5" i="14"/>
  <c r="M7" i="14"/>
  <c r="M3" i="14"/>
  <c r="N9" i="3"/>
  <c r="N5" i="3"/>
  <c r="N10" i="3"/>
  <c r="P6" i="3"/>
  <c r="P7" i="3" s="1"/>
  <c r="P9" i="3" s="1"/>
  <c r="O6" i="5"/>
  <c r="O7" i="5" s="1"/>
  <c r="M3" i="2"/>
  <c r="M10" i="5"/>
  <c r="M7" i="6"/>
  <c r="M9" i="8"/>
  <c r="M6" i="9"/>
  <c r="M3" i="10"/>
  <c r="M10" i="13"/>
  <c r="M7" i="15"/>
  <c r="M6" i="2"/>
  <c r="M10" i="6"/>
  <c r="M4" i="8"/>
  <c r="M9" i="9"/>
  <c r="M6" i="10"/>
  <c r="M5" i="13"/>
  <c r="M6" i="19"/>
  <c r="M3" i="20"/>
  <c r="M4" i="9"/>
  <c r="M5" i="15"/>
  <c r="M3" i="6"/>
  <c r="M10" i="9"/>
  <c r="M6" i="15"/>
  <c r="M10" i="19"/>
  <c r="M7" i="20"/>
  <c r="O8" i="5" l="1"/>
  <c r="O9" i="5" s="1"/>
  <c r="O10" i="5" s="1"/>
</calcChain>
</file>

<file path=xl/sharedStrings.xml><?xml version="1.0" encoding="utf-8"?>
<sst xmlns="http://schemas.openxmlformats.org/spreadsheetml/2006/main" count="537" uniqueCount="107">
  <si>
    <t>PLATE</t>
  </si>
  <si>
    <t>L4440 #1</t>
  </si>
  <si>
    <t>L4440 #2</t>
  </si>
  <si>
    <t>L4440 #3</t>
  </si>
  <si>
    <t>INITIAL ALIVE AVG:</t>
  </si>
  <si>
    <t>i had been manually counting hours but maybe this column is just easier .. excel estimates</t>
  </si>
  <si>
    <t>Day</t>
  </si>
  <si>
    <t>TIME</t>
  </si>
  <si>
    <t>A</t>
  </si>
  <si>
    <t>D</t>
  </si>
  <si>
    <t>O</t>
  </si>
  <si>
    <t>Live average</t>
  </si>
  <si>
    <t>% Alive</t>
  </si>
  <si>
    <t>Time (hours)</t>
  </si>
  <si>
    <t>Automatic h</t>
  </si>
  <si>
    <t>***</t>
  </si>
  <si>
    <t>g2 #1</t>
  </si>
  <si>
    <t>g2 #2</t>
  </si>
  <si>
    <t>g2 #3</t>
  </si>
  <si>
    <t>1 seen beneath surface</t>
  </si>
  <si>
    <t>g3 #1</t>
  </si>
  <si>
    <t>g3 #2</t>
  </si>
  <si>
    <t>g3 #3</t>
  </si>
  <si>
    <t>g4 #1</t>
  </si>
  <si>
    <t>g4 #2</t>
  </si>
  <si>
    <t>g4 #3</t>
  </si>
  <si>
    <t>g5 #1</t>
  </si>
  <si>
    <t>g5 #2</t>
  </si>
  <si>
    <t>g5 #3</t>
  </si>
  <si>
    <t>g6 #1</t>
  </si>
  <si>
    <t>g6 #2</t>
  </si>
  <si>
    <t>g6 #3</t>
  </si>
  <si>
    <t>N/A</t>
  </si>
  <si>
    <t>g7 #1</t>
  </si>
  <si>
    <t>g7 #2</t>
  </si>
  <si>
    <t>g7 #3</t>
  </si>
  <si>
    <t>g8 #1</t>
  </si>
  <si>
    <t>g8 #2</t>
  </si>
  <si>
    <t>g8 #3</t>
  </si>
  <si>
    <t>g9 #1</t>
  </si>
  <si>
    <t>g9 #2</t>
  </si>
  <si>
    <t>g9 #3</t>
  </si>
  <si>
    <t>smushed on wall</t>
  </si>
  <si>
    <t>x</t>
  </si>
  <si>
    <t>g10 #1</t>
  </si>
  <si>
    <t>g10 #2</t>
  </si>
  <si>
    <t>g10 #3</t>
  </si>
  <si>
    <t>g11 #1</t>
  </si>
  <si>
    <t>g11 #2</t>
  </si>
  <si>
    <t>g11 #3</t>
  </si>
  <si>
    <t>g12 #1</t>
  </si>
  <si>
    <t>g12 #2</t>
  </si>
  <si>
    <t>g12 #3</t>
  </si>
  <si>
    <t>g13 #1</t>
  </si>
  <si>
    <t>g13 #2</t>
  </si>
  <si>
    <t>g13 #3</t>
  </si>
  <si>
    <t>g15 #1</t>
  </si>
  <si>
    <t>g15 #2</t>
  </si>
  <si>
    <t>g15 #3</t>
  </si>
  <si>
    <t>g14 #1</t>
  </si>
  <si>
    <t>g14 #2</t>
  </si>
  <si>
    <t>g14 #3</t>
  </si>
  <si>
    <t>g17 #1</t>
  </si>
  <si>
    <t>g17 #2</t>
  </si>
  <si>
    <t>g17 #3</t>
  </si>
  <si>
    <t>g18 #1</t>
  </si>
  <si>
    <t>g18 #2</t>
  </si>
  <si>
    <t>g18 #3</t>
  </si>
  <si>
    <t>g19 #1</t>
  </si>
  <si>
    <t>g19 #2</t>
  </si>
  <si>
    <t>g19 #3</t>
  </si>
  <si>
    <t>g20 #1</t>
  </si>
  <si>
    <t>g20 #2</t>
  </si>
  <si>
    <t>g20 #3</t>
  </si>
  <si>
    <t>g21 #1</t>
  </si>
  <si>
    <t>g21 #2</t>
  </si>
  <si>
    <t>g21 #3</t>
  </si>
  <si>
    <t>sequence</t>
  </si>
  <si>
    <t>time</t>
  </si>
  <si>
    <t>prop_alive</t>
  </si>
  <si>
    <t>control</t>
  </si>
  <si>
    <t>strand</t>
  </si>
  <si>
    <t>PAMloc</t>
  </si>
  <si>
    <t>prim_TSS_dist5p</t>
  </si>
  <si>
    <t>prim_TSS_dist3p</t>
  </si>
  <si>
    <t>sec_TSS_dist5p</t>
  </si>
  <si>
    <t>sec_TSS_dist3p</t>
  </si>
  <si>
    <t>GAAACTCTCTCTCTCTGCTCG</t>
  </si>
  <si>
    <t>GCAATTGGTGTGCTCTCTCT</t>
  </si>
  <si>
    <t>GTTTCTTGAGATCAGTGGAGC</t>
  </si>
  <si>
    <t>GCCGGGAGAGGAGGAGCTCCG</t>
  </si>
  <si>
    <t>GATAGTACATTGAATAATT</t>
  </si>
  <si>
    <t>GAATAATTCGGAATCCATTTTGA</t>
  </si>
  <si>
    <t>GAATCCATTTTGATGGGGCATC</t>
  </si>
  <si>
    <t>GATGGGGCATCTGGGGACAGC</t>
  </si>
  <si>
    <t>GACACATTACACTTTTATGAT</t>
  </si>
  <si>
    <t>GACACATTACACTTTTATGATAGGC</t>
  </si>
  <si>
    <t>GTGATCATTGATTATTTATT</t>
  </si>
  <si>
    <t>GCAATTTGCATTTATTCCT</t>
  </si>
  <si>
    <t>GAATTAAAATATCGAATTTC</t>
  </si>
  <si>
    <t>GGATAAAAATTCACAAAAATT</t>
  </si>
  <si>
    <t>GTAGGAGGGATGGCTAGTGAACAG</t>
  </si>
  <si>
    <t>GGGATAATTGTAGGAGGGA</t>
  </si>
  <si>
    <t>GAAATATTGGGATAATTGTAGGA</t>
  </si>
  <si>
    <t>GTGTGAAATATTGGGATAATTGT</t>
  </si>
  <si>
    <t>GGATAGAAATCTACGTACCT</t>
  </si>
  <si>
    <t>seq_ID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</si>
</sst>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mmmyy"/>
    <numFmt numFmtId="165" formatCode="ddmmmyy"/>
    <numFmt numFmtId="166" formatCode="dmmmmyy\ h:mm\ AM/PM"/>
    <numFmt numFmtId="167" formatCode="dmmmyy\ h:mm\ AM/PM"/>
    <numFmt numFmtId="168" formatCode="m/d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3" fillId="0" borderId="0" xfId="0" applyFont="1"/>
    <xf numFmtId="164" fontId="3" fillId="3" borderId="4" xfId="0" applyNumberFormat="1" applyFont="1" applyFill="1" applyBorder="1"/>
    <xf numFmtId="18" fontId="3" fillId="3" borderId="4" xfId="0" applyNumberFormat="1" applyFont="1" applyFill="1" applyBorder="1"/>
    <xf numFmtId="0" fontId="3" fillId="0" borderId="4" xfId="0" applyFont="1" applyBorder="1" applyAlignment="1">
      <alignment horizontal="center"/>
    </xf>
    <xf numFmtId="165" fontId="3" fillId="3" borderId="4" xfId="0" applyNumberFormat="1" applyFont="1" applyFill="1" applyBorder="1"/>
    <xf numFmtId="0" fontId="3" fillId="3" borderId="4" xfId="0" applyFont="1" applyFill="1" applyBorder="1"/>
    <xf numFmtId="0" fontId="3" fillId="0" borderId="4" xfId="0" applyFont="1" applyBorder="1"/>
    <xf numFmtId="0" fontId="1" fillId="0" borderId="0" xfId="0" applyFont="1"/>
    <xf numFmtId="2" fontId="3" fillId="0" borderId="0" xfId="0" applyNumberFormat="1" applyFont="1"/>
    <xf numFmtId="2" fontId="5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8" fontId="3" fillId="3" borderId="4" xfId="0" applyNumberFormat="1" applyFont="1" applyFill="1" applyBorder="1"/>
    <xf numFmtId="18" fontId="0" fillId="0" borderId="0" xfId="0" applyNumberFormat="1"/>
    <xf numFmtId="18" fontId="3" fillId="0" borderId="0" xfId="0" applyNumberFormat="1" applyFont="1"/>
    <xf numFmtId="166" fontId="2" fillId="0" borderId="3" xfId="0" applyNumberFormat="1" applyFont="1" applyBorder="1"/>
    <xf numFmtId="166" fontId="1" fillId="3" borderId="4" xfId="0" applyNumberFormat="1" applyFont="1" applyFill="1" applyBorder="1" applyAlignment="1">
      <alignment horizontal="center"/>
    </xf>
    <xf numFmtId="166" fontId="3" fillId="3" borderId="4" xfId="0" applyNumberFormat="1" applyFont="1" applyFill="1" applyBorder="1"/>
    <xf numFmtId="166" fontId="0" fillId="0" borderId="0" xfId="0" applyNumberFormat="1"/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M3" sqref="M3:M10"/>
    </sheetView>
  </sheetViews>
  <sheetFormatPr defaultColWidth="12.5703125" defaultRowHeight="15" customHeight="1" x14ac:dyDescent="0.2"/>
  <cols>
    <col min="1" max="6" width="12.5703125" customWidth="1"/>
    <col min="13" max="13" width="16" customWidth="1"/>
  </cols>
  <sheetData>
    <row r="1" spans="1:16" ht="15.75" customHeight="1" x14ac:dyDescent="0.2">
      <c r="A1" s="27" t="s">
        <v>0</v>
      </c>
      <c r="B1" s="28"/>
      <c r="C1" s="27" t="s">
        <v>1</v>
      </c>
      <c r="D1" s="29"/>
      <c r="E1" s="28"/>
      <c r="F1" s="27" t="s">
        <v>2</v>
      </c>
      <c r="G1" s="29"/>
      <c r="H1" s="28"/>
      <c r="I1" s="27" t="s">
        <v>3</v>
      </c>
      <c r="J1" s="29"/>
      <c r="K1" s="28"/>
      <c r="L1" s="1" t="s">
        <v>4</v>
      </c>
      <c r="M1" s="1">
        <f>AVERAGE(C3,F3,I3)</f>
        <v>14.333333333333334</v>
      </c>
      <c r="N1" s="1"/>
      <c r="O1" s="2" t="s">
        <v>5</v>
      </c>
    </row>
    <row r="2" spans="1:16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6" t="s">
        <v>12</v>
      </c>
      <c r="N2" s="5" t="s">
        <v>13</v>
      </c>
      <c r="O2" s="7" t="s">
        <v>14</v>
      </c>
      <c r="P2" s="7"/>
    </row>
    <row r="3" spans="1:16" ht="15.75" customHeight="1" x14ac:dyDescent="0.2">
      <c r="A3" s="8">
        <v>45745</v>
      </c>
      <c r="B3" s="9">
        <v>0.58333333333333337</v>
      </c>
      <c r="C3" s="10">
        <v>13</v>
      </c>
      <c r="D3" s="10">
        <v>0</v>
      </c>
      <c r="E3" s="10">
        <v>0</v>
      </c>
      <c r="F3" s="10">
        <v>15</v>
      </c>
      <c r="G3" s="10">
        <v>0</v>
      </c>
      <c r="H3" s="10">
        <v>0</v>
      </c>
      <c r="I3" s="10">
        <v>15</v>
      </c>
      <c r="J3" s="10">
        <v>0</v>
      </c>
      <c r="K3" s="10">
        <v>0</v>
      </c>
      <c r="L3" s="1">
        <f t="shared" ref="L3:L10" si="0">AVERAGE(C3,F3,I3)</f>
        <v>14.333333333333334</v>
      </c>
      <c r="M3" s="2">
        <f>L3/M1*100</f>
        <v>100</v>
      </c>
      <c r="N3" s="1">
        <v>0</v>
      </c>
      <c r="O3" s="7" t="str">
        <f>TEXT(B3-B3,"h")</f>
        <v>0</v>
      </c>
      <c r="P3" s="7"/>
    </row>
    <row r="4" spans="1:16" ht="15.75" customHeight="1" x14ac:dyDescent="0.2">
      <c r="A4" s="8">
        <v>45745</v>
      </c>
      <c r="B4" s="9">
        <v>0.93819444444444444</v>
      </c>
      <c r="C4" s="10">
        <v>13</v>
      </c>
      <c r="D4" s="10">
        <v>0</v>
      </c>
      <c r="E4" s="10">
        <v>0</v>
      </c>
      <c r="F4" s="10">
        <v>14</v>
      </c>
      <c r="G4" s="10">
        <v>0</v>
      </c>
      <c r="H4" s="10">
        <v>1</v>
      </c>
      <c r="I4" s="10">
        <v>15</v>
      </c>
      <c r="J4" s="10">
        <v>0</v>
      </c>
      <c r="K4" s="10">
        <v>0</v>
      </c>
      <c r="L4" s="1">
        <f t="shared" si="0"/>
        <v>14</v>
      </c>
      <c r="M4" s="2">
        <f>L4/M1*100</f>
        <v>97.674418604651152</v>
      </c>
      <c r="N4" s="1">
        <v>8.5</v>
      </c>
      <c r="O4" s="7">
        <f t="shared" ref="O4:O10" si="1">O3+TEXT(B4-B3,"h")</f>
        <v>8</v>
      </c>
      <c r="P4" s="7"/>
    </row>
    <row r="5" spans="1:16" ht="15.75" customHeight="1" x14ac:dyDescent="0.2">
      <c r="A5" s="8">
        <v>45746</v>
      </c>
      <c r="B5" s="9">
        <v>0.36527777777777776</v>
      </c>
      <c r="C5" s="10">
        <v>12</v>
      </c>
      <c r="D5" s="10">
        <v>1</v>
      </c>
      <c r="E5" s="10">
        <v>0</v>
      </c>
      <c r="F5" s="10">
        <v>14</v>
      </c>
      <c r="G5" s="10">
        <v>1</v>
      </c>
      <c r="H5" s="10">
        <v>0</v>
      </c>
      <c r="I5" s="10">
        <v>14</v>
      </c>
      <c r="J5" s="10">
        <v>1</v>
      </c>
      <c r="K5" s="10">
        <v>0</v>
      </c>
      <c r="L5" s="1">
        <f t="shared" si="0"/>
        <v>13.333333333333334</v>
      </c>
      <c r="M5" s="2">
        <f>L5/M1*100</f>
        <v>93.023255813953483</v>
      </c>
      <c r="N5" s="1">
        <v>18.75</v>
      </c>
      <c r="O5" s="7" t="e">
        <f t="shared" si="1"/>
        <v>#VALUE!</v>
      </c>
      <c r="P5" s="7"/>
    </row>
    <row r="6" spans="1:16" ht="15.75" customHeight="1" x14ac:dyDescent="0.2">
      <c r="A6" s="8">
        <v>45746</v>
      </c>
      <c r="B6" s="9">
        <v>0.59027777777777779</v>
      </c>
      <c r="C6" s="10">
        <v>2</v>
      </c>
      <c r="D6" s="10">
        <v>11</v>
      </c>
      <c r="E6" s="10">
        <v>0</v>
      </c>
      <c r="F6" s="10">
        <v>6</v>
      </c>
      <c r="G6" s="10">
        <v>8</v>
      </c>
      <c r="H6" s="10">
        <v>1</v>
      </c>
      <c r="I6" s="10">
        <v>9</v>
      </c>
      <c r="J6" s="10">
        <v>6</v>
      </c>
      <c r="K6" s="10">
        <v>0</v>
      </c>
      <c r="L6" s="1">
        <f t="shared" si="0"/>
        <v>5.666666666666667</v>
      </c>
      <c r="M6" s="2">
        <f>L6/M1*100</f>
        <v>39.534883720930232</v>
      </c>
      <c r="N6" s="1">
        <v>24</v>
      </c>
      <c r="O6" s="7" t="e">
        <f t="shared" si="1"/>
        <v>#VALUE!</v>
      </c>
      <c r="P6" s="7"/>
    </row>
    <row r="7" spans="1:16" ht="15.75" customHeight="1" x14ac:dyDescent="0.2">
      <c r="A7" s="8">
        <v>45746</v>
      </c>
      <c r="B7" s="9">
        <v>0.93402777777777779</v>
      </c>
      <c r="C7" s="10">
        <v>0</v>
      </c>
      <c r="D7" s="10">
        <v>12</v>
      </c>
      <c r="E7" s="10">
        <v>1</v>
      </c>
      <c r="F7" s="10">
        <v>0</v>
      </c>
      <c r="G7" s="10">
        <v>14</v>
      </c>
      <c r="H7" s="10">
        <v>1</v>
      </c>
      <c r="I7" s="10">
        <v>5</v>
      </c>
      <c r="J7" s="10">
        <v>9</v>
      </c>
      <c r="K7" s="10">
        <v>1</v>
      </c>
      <c r="L7" s="1">
        <f t="shared" si="0"/>
        <v>1.6666666666666667</v>
      </c>
      <c r="M7" s="2">
        <f>L7/M1*100</f>
        <v>11.627906976744185</v>
      </c>
      <c r="N7" s="1">
        <v>32.25</v>
      </c>
      <c r="O7" s="7" t="e">
        <f t="shared" si="1"/>
        <v>#VALUE!</v>
      </c>
      <c r="P7" s="7"/>
    </row>
    <row r="8" spans="1:16" ht="15.75" customHeight="1" x14ac:dyDescent="0.2">
      <c r="A8" s="8">
        <v>45747</v>
      </c>
      <c r="B8" s="9">
        <v>0.36319444444444443</v>
      </c>
      <c r="C8" s="10">
        <v>0</v>
      </c>
      <c r="D8" s="10">
        <v>13</v>
      </c>
      <c r="E8" s="10">
        <v>0</v>
      </c>
      <c r="F8" s="10">
        <v>0</v>
      </c>
      <c r="G8" s="10">
        <v>14</v>
      </c>
      <c r="H8" s="10">
        <v>1</v>
      </c>
      <c r="I8" s="10">
        <v>1</v>
      </c>
      <c r="J8" s="10">
        <v>13</v>
      </c>
      <c r="K8" s="10">
        <v>1</v>
      </c>
      <c r="L8" s="1">
        <f t="shared" si="0"/>
        <v>0.33333333333333331</v>
      </c>
      <c r="M8" s="2">
        <f>L8/M1*100</f>
        <v>2.3255813953488369</v>
      </c>
      <c r="N8" s="1">
        <v>42.5</v>
      </c>
      <c r="O8" s="7" t="e">
        <f t="shared" si="1"/>
        <v>#VALUE!</v>
      </c>
      <c r="P8" s="7"/>
    </row>
    <row r="9" spans="1:16" ht="15.75" customHeight="1" x14ac:dyDescent="0.2">
      <c r="A9" s="8">
        <v>45747</v>
      </c>
      <c r="B9" s="9">
        <v>0.65277777777777779</v>
      </c>
      <c r="C9" s="10">
        <v>0</v>
      </c>
      <c r="D9" s="10">
        <v>13</v>
      </c>
      <c r="E9" s="10">
        <v>0</v>
      </c>
      <c r="F9" s="10">
        <v>0</v>
      </c>
      <c r="G9" s="10">
        <v>14</v>
      </c>
      <c r="H9" s="10">
        <v>1</v>
      </c>
      <c r="I9" s="10">
        <v>0</v>
      </c>
      <c r="J9" s="10">
        <v>14</v>
      </c>
      <c r="K9" s="10">
        <v>1</v>
      </c>
      <c r="L9" s="1">
        <f t="shared" si="0"/>
        <v>0</v>
      </c>
      <c r="M9" s="2">
        <v>0</v>
      </c>
      <c r="N9" s="1">
        <v>49.5</v>
      </c>
      <c r="O9" s="7" t="e">
        <f t="shared" si="1"/>
        <v>#VALUE!</v>
      </c>
      <c r="P9" s="7"/>
    </row>
    <row r="10" spans="1:16" ht="15.75" customHeight="1" x14ac:dyDescent="0.2">
      <c r="A10" s="11">
        <v>45748</v>
      </c>
      <c r="B10" s="9">
        <v>2.0833333333333333E-3</v>
      </c>
      <c r="C10" s="10">
        <v>0</v>
      </c>
      <c r="D10" s="10">
        <v>13</v>
      </c>
      <c r="E10" s="10">
        <v>0</v>
      </c>
      <c r="F10" s="10">
        <v>0</v>
      </c>
      <c r="G10" s="10">
        <v>14</v>
      </c>
      <c r="H10" s="10">
        <v>1</v>
      </c>
      <c r="I10" s="10">
        <v>0</v>
      </c>
      <c r="J10" s="10">
        <v>14</v>
      </c>
      <c r="K10" s="10">
        <v>1</v>
      </c>
      <c r="L10" s="1">
        <f t="shared" si="0"/>
        <v>0</v>
      </c>
      <c r="M10" s="2">
        <v>0</v>
      </c>
      <c r="N10" s="1">
        <v>57.83</v>
      </c>
      <c r="O10" s="7" t="e">
        <f t="shared" si="1"/>
        <v>#VALUE!</v>
      </c>
      <c r="P10" s="7"/>
    </row>
    <row r="11" spans="1:16" ht="15.75" customHeight="1" x14ac:dyDescent="0.2">
      <c r="A11" s="12"/>
      <c r="B11" s="12"/>
      <c r="C11" s="10"/>
      <c r="D11" s="10"/>
      <c r="E11" s="10"/>
      <c r="F11" s="10"/>
      <c r="G11" s="10"/>
      <c r="H11" s="10" t="s">
        <v>15</v>
      </c>
      <c r="I11" s="10"/>
      <c r="J11" s="10"/>
      <c r="K11" s="10" t="s">
        <v>15</v>
      </c>
      <c r="L11" s="1"/>
      <c r="M11" s="1"/>
      <c r="N11" s="1"/>
    </row>
    <row r="12" spans="1:16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  <c r="L12" s="1"/>
      <c r="M12" s="1"/>
      <c r="N12" s="1"/>
    </row>
    <row r="13" spans="1:16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  <c r="L13" s="1"/>
      <c r="M13" s="1"/>
      <c r="N13" s="1"/>
    </row>
    <row r="14" spans="1:16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  <c r="L14" s="1"/>
      <c r="M14" s="1"/>
      <c r="N14" s="1"/>
    </row>
    <row r="15" spans="1:16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  <c r="L15" s="1"/>
      <c r="M15" s="1"/>
      <c r="N15" s="1"/>
    </row>
    <row r="16" spans="1:16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  <c r="L16" s="1"/>
      <c r="M16" s="1"/>
      <c r="N16" s="1"/>
    </row>
    <row r="17" spans="1:14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  <c r="L17" s="1"/>
      <c r="M17" s="1"/>
      <c r="N17" s="1"/>
    </row>
    <row r="18" spans="1:14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  <c r="L18" s="1"/>
      <c r="M18" s="1"/>
      <c r="N18" s="1"/>
    </row>
    <row r="19" spans="1:14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  <c r="L19" s="1"/>
      <c r="M19" s="1"/>
      <c r="N19" s="1"/>
    </row>
    <row r="20" spans="1:14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  <c r="L20" s="1"/>
      <c r="M20" s="1"/>
      <c r="N20" s="1"/>
    </row>
    <row r="21" spans="1:14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  <c r="L21" s="1"/>
      <c r="M21" s="1"/>
      <c r="N21" s="1"/>
    </row>
    <row r="22" spans="1:14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  <c r="L22" s="1"/>
      <c r="M22" s="1"/>
      <c r="N22" s="1"/>
    </row>
    <row r="23" spans="1:14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  <c r="L23" s="1"/>
      <c r="M23" s="1"/>
      <c r="N23" s="1"/>
    </row>
    <row r="24" spans="1:14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  <c r="L24" s="1"/>
      <c r="M24" s="1"/>
      <c r="N24" s="1"/>
    </row>
    <row r="25" spans="1:14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  <c r="L25" s="1"/>
      <c r="M25" s="1"/>
      <c r="N25" s="1"/>
    </row>
    <row r="26" spans="1:14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  <c r="L26" s="1"/>
      <c r="M26" s="1"/>
      <c r="N26" s="1"/>
    </row>
    <row r="27" spans="1:14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  <c r="L27" s="1"/>
      <c r="M27" s="1"/>
      <c r="N27" s="1"/>
    </row>
    <row r="28" spans="1:14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  <c r="L28" s="1"/>
      <c r="M28" s="1"/>
      <c r="N28" s="1"/>
    </row>
    <row r="29" spans="1:14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  <c r="L29" s="1"/>
      <c r="M29" s="1"/>
      <c r="N29" s="1"/>
    </row>
    <row r="30" spans="1:14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  <c r="L30" s="1"/>
      <c r="M30" s="1"/>
      <c r="N30" s="1"/>
    </row>
    <row r="31" spans="1:14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  <c r="L31" s="1"/>
      <c r="M31" s="1"/>
      <c r="N31" s="1"/>
    </row>
    <row r="32" spans="1:14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  <c r="L32" s="1"/>
      <c r="M32" s="1"/>
      <c r="N32" s="1"/>
    </row>
    <row r="33" spans="1:14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  <c r="L33" s="1"/>
      <c r="M33" s="1"/>
      <c r="N33" s="1"/>
    </row>
    <row r="34" spans="1:14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  <c r="L34" s="1"/>
      <c r="M34" s="1"/>
      <c r="N34" s="1"/>
    </row>
    <row r="35" spans="1:14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  <c r="L35" s="1"/>
      <c r="M35" s="1"/>
      <c r="N35" s="1"/>
    </row>
    <row r="36" spans="1:14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  <c r="L36" s="1"/>
      <c r="M36" s="1"/>
      <c r="N36" s="1"/>
    </row>
    <row r="37" spans="1:14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  <c r="L37" s="1"/>
      <c r="M37" s="1"/>
      <c r="N37" s="1"/>
    </row>
    <row r="38" spans="1:14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  <c r="L38" s="1"/>
      <c r="M38" s="1"/>
      <c r="N38" s="1"/>
    </row>
    <row r="39" spans="1:14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  <c r="L39" s="1"/>
      <c r="M39" s="1"/>
      <c r="N39" s="1"/>
    </row>
    <row r="40" spans="1:14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  <c r="L40" s="1"/>
      <c r="M40" s="1"/>
      <c r="N40" s="1"/>
    </row>
    <row r="41" spans="1:14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  <c r="L41" s="1"/>
      <c r="M41" s="1"/>
      <c r="N41" s="1"/>
    </row>
    <row r="42" spans="1:14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  <c r="L42" s="1"/>
      <c r="M42" s="1"/>
      <c r="N42" s="1"/>
    </row>
    <row r="43" spans="1:14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  <c r="L43" s="1"/>
      <c r="M43" s="1"/>
      <c r="N43" s="1"/>
    </row>
    <row r="44" spans="1:14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  <c r="L44" s="1"/>
      <c r="M44" s="1"/>
      <c r="N44" s="1"/>
    </row>
    <row r="45" spans="1:14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  <c r="L45" s="1"/>
      <c r="M45" s="1"/>
      <c r="N45" s="1"/>
    </row>
    <row r="46" spans="1:14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  <c r="L46" s="1"/>
      <c r="M46" s="1"/>
      <c r="N46" s="1"/>
    </row>
    <row r="47" spans="1:14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  <c r="L47" s="1"/>
      <c r="M47" s="1"/>
      <c r="N47" s="1"/>
    </row>
    <row r="48" spans="1:14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  <c r="L48" s="1"/>
      <c r="M48" s="1"/>
      <c r="N48" s="1"/>
    </row>
    <row r="49" spans="1:14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  <c r="L49" s="1"/>
      <c r="M49" s="1"/>
      <c r="N49" s="1"/>
    </row>
    <row r="50" spans="1:14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  <c r="L50" s="1"/>
      <c r="M50" s="1"/>
      <c r="N50" s="1"/>
    </row>
    <row r="51" spans="1:14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  <c r="L51" s="1"/>
      <c r="M51" s="1"/>
      <c r="N51" s="1"/>
    </row>
    <row r="52" spans="1:14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  <c r="L52" s="1"/>
      <c r="M52" s="1"/>
      <c r="N52" s="1"/>
    </row>
    <row r="53" spans="1:14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"/>
      <c r="M53" s="1"/>
      <c r="N53" s="1"/>
    </row>
    <row r="54" spans="1:14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  <c r="L54" s="1"/>
      <c r="M54" s="1"/>
      <c r="N54" s="1"/>
    </row>
    <row r="55" spans="1:14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  <c r="L55" s="1"/>
      <c r="M55" s="1"/>
      <c r="N55" s="1"/>
    </row>
    <row r="56" spans="1:14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  <c r="L56" s="1"/>
      <c r="M56" s="1"/>
      <c r="N56" s="1"/>
    </row>
    <row r="57" spans="1:14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  <c r="L57" s="1"/>
      <c r="M57" s="1"/>
      <c r="N57" s="1"/>
    </row>
    <row r="58" spans="1:14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  <c r="L58" s="1"/>
      <c r="M58" s="1"/>
      <c r="N58" s="1"/>
    </row>
    <row r="59" spans="1:14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  <c r="L59" s="1"/>
      <c r="M59" s="1"/>
      <c r="N59" s="1"/>
    </row>
    <row r="60" spans="1:14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  <c r="L60" s="1"/>
      <c r="M60" s="1"/>
      <c r="N60" s="1"/>
    </row>
    <row r="61" spans="1:14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  <c r="L61" s="1"/>
      <c r="M61" s="1"/>
      <c r="N61" s="1"/>
    </row>
    <row r="62" spans="1:14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  <c r="L62" s="1"/>
      <c r="M62" s="1"/>
      <c r="N62" s="1"/>
    </row>
    <row r="63" spans="1:14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  <c r="L63" s="1"/>
      <c r="M63" s="1"/>
      <c r="N63" s="1"/>
    </row>
    <row r="64" spans="1:14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  <c r="L64" s="1"/>
      <c r="M64" s="1"/>
      <c r="N64" s="1"/>
    </row>
    <row r="65" spans="1:14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  <c r="L65" s="1"/>
      <c r="M65" s="1"/>
      <c r="N65" s="1"/>
    </row>
    <row r="66" spans="1:14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  <c r="L66" s="1"/>
      <c r="M66" s="1"/>
      <c r="N66" s="1"/>
    </row>
    <row r="67" spans="1:14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  <c r="L67" s="1"/>
      <c r="M67" s="1"/>
      <c r="N67" s="1"/>
    </row>
    <row r="68" spans="1:14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  <c r="L68" s="1"/>
      <c r="M68" s="1"/>
      <c r="N68" s="1"/>
    </row>
    <row r="69" spans="1:14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  <c r="L69" s="1"/>
      <c r="M69" s="1"/>
      <c r="N69" s="1"/>
    </row>
    <row r="70" spans="1:14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  <c r="L70" s="1"/>
      <c r="M70" s="1"/>
      <c r="N70" s="1"/>
    </row>
    <row r="71" spans="1:14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  <c r="L71" s="1"/>
      <c r="M71" s="1"/>
      <c r="N71" s="1"/>
    </row>
    <row r="72" spans="1:14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  <c r="L72" s="1"/>
      <c r="M72" s="1"/>
      <c r="N72" s="1"/>
    </row>
    <row r="73" spans="1:14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  <c r="L73" s="1"/>
      <c r="M73" s="1"/>
      <c r="N73" s="1"/>
    </row>
    <row r="74" spans="1:14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  <c r="L74" s="1"/>
      <c r="M74" s="1"/>
      <c r="N74" s="1"/>
    </row>
    <row r="75" spans="1:14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  <c r="L75" s="1"/>
      <c r="M75" s="1"/>
      <c r="N75" s="1"/>
    </row>
    <row r="76" spans="1:14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  <c r="L76" s="1"/>
      <c r="M76" s="1"/>
      <c r="N76" s="1"/>
    </row>
    <row r="77" spans="1:14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  <c r="L77" s="1"/>
      <c r="M77" s="1"/>
      <c r="N77" s="1"/>
    </row>
    <row r="78" spans="1:14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  <c r="L78" s="1"/>
      <c r="M78" s="1"/>
      <c r="N78" s="1"/>
    </row>
    <row r="79" spans="1:14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  <c r="L79" s="1"/>
      <c r="M79" s="1"/>
      <c r="N79" s="1"/>
    </row>
    <row r="80" spans="1:14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  <c r="L80" s="1"/>
      <c r="M80" s="1"/>
      <c r="N80" s="1"/>
    </row>
    <row r="81" spans="1:14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  <c r="L81" s="1"/>
      <c r="M81" s="1"/>
      <c r="N81" s="1"/>
    </row>
    <row r="82" spans="1:14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  <c r="L82" s="1"/>
      <c r="M82" s="1"/>
      <c r="N82" s="1"/>
    </row>
    <row r="83" spans="1:14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  <c r="L83" s="1"/>
      <c r="M83" s="1"/>
      <c r="N83" s="1"/>
    </row>
    <row r="84" spans="1:14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  <c r="L84" s="1"/>
      <c r="M84" s="1"/>
      <c r="N84" s="1"/>
    </row>
    <row r="85" spans="1:14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  <c r="L85" s="1"/>
      <c r="M85" s="1"/>
      <c r="N85" s="1"/>
    </row>
    <row r="86" spans="1:14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  <c r="L86" s="1"/>
      <c r="M86" s="1"/>
      <c r="N86" s="1"/>
    </row>
    <row r="87" spans="1:14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  <c r="L87" s="1"/>
      <c r="M87" s="1"/>
      <c r="N87" s="1"/>
    </row>
    <row r="88" spans="1:14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  <c r="L88" s="1"/>
      <c r="M88" s="1"/>
      <c r="N88" s="1"/>
    </row>
    <row r="89" spans="1:14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"/>
      <c r="M89" s="1"/>
      <c r="N89" s="1"/>
    </row>
    <row r="90" spans="1:14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1"/>
      <c r="M90" s="1"/>
      <c r="N90" s="1"/>
    </row>
    <row r="91" spans="1:14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1"/>
      <c r="M91" s="1"/>
      <c r="N91" s="1"/>
    </row>
    <row r="92" spans="1:14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1"/>
      <c r="M92" s="1"/>
      <c r="N92" s="1"/>
    </row>
    <row r="93" spans="1:14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4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4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4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  <col min="13" max="13" width="16" customWidth="1"/>
  </cols>
  <sheetData>
    <row r="1" spans="1:15" ht="15.75" customHeight="1" x14ac:dyDescent="0.2">
      <c r="A1" s="27" t="s">
        <v>0</v>
      </c>
      <c r="B1" s="28"/>
      <c r="C1" s="27" t="s">
        <v>16</v>
      </c>
      <c r="D1" s="29"/>
      <c r="E1" s="28"/>
      <c r="F1" s="27" t="s">
        <v>17</v>
      </c>
      <c r="G1" s="29"/>
      <c r="H1" s="28"/>
      <c r="I1" s="27" t="s">
        <v>18</v>
      </c>
      <c r="J1" s="29"/>
      <c r="K1" s="28"/>
      <c r="L1" s="1" t="s">
        <v>4</v>
      </c>
      <c r="M1" s="1">
        <f>AVERAGE(C4,F4,I4)</f>
        <v>17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8">
        <v>45745</v>
      </c>
      <c r="B3" s="9">
        <v>0.58333333333333337</v>
      </c>
      <c r="C3" s="13">
        <v>20</v>
      </c>
      <c r="D3" s="13">
        <v>0</v>
      </c>
      <c r="E3" s="13">
        <v>0</v>
      </c>
      <c r="F3" s="13">
        <v>18</v>
      </c>
      <c r="G3" s="13">
        <v>0</v>
      </c>
      <c r="H3" s="13">
        <v>0</v>
      </c>
      <c r="I3" s="13">
        <v>20</v>
      </c>
      <c r="J3" s="13">
        <v>0</v>
      </c>
      <c r="K3" s="13">
        <v>0</v>
      </c>
      <c r="L3" s="1">
        <f t="shared" ref="L3:L10" si="0">AVERAGE(C3,F3,I3)</f>
        <v>19.333333333333332</v>
      </c>
      <c r="M3" s="15">
        <f>(L3/M1)*100</f>
        <v>113.72549019607843</v>
      </c>
      <c r="N3" s="7">
        <v>0</v>
      </c>
      <c r="O3" s="7" t="str">
        <f>TEXT(B3-B3,"h")</f>
        <v>0</v>
      </c>
    </row>
    <row r="4" spans="1:15" ht="15.75" customHeight="1" x14ac:dyDescent="0.2">
      <c r="A4" s="8">
        <v>45745</v>
      </c>
      <c r="B4" s="9">
        <v>0.94861111111111107</v>
      </c>
      <c r="C4" s="13">
        <v>18</v>
      </c>
      <c r="D4" s="13">
        <v>0</v>
      </c>
      <c r="E4" s="13">
        <v>2</v>
      </c>
      <c r="F4" s="13">
        <v>15</v>
      </c>
      <c r="G4" s="13">
        <v>0</v>
      </c>
      <c r="H4" s="13">
        <v>3</v>
      </c>
      <c r="I4" s="13">
        <v>18</v>
      </c>
      <c r="J4" s="13">
        <v>0</v>
      </c>
      <c r="K4" s="13">
        <v>2</v>
      </c>
      <c r="L4" s="1">
        <f t="shared" si="0"/>
        <v>17</v>
      </c>
      <c r="M4" s="15">
        <f>(L4/M1)*100</f>
        <v>100</v>
      </c>
      <c r="N4" s="7">
        <v>8.75</v>
      </c>
      <c r="O4" s="7">
        <f t="shared" ref="O4:O10" si="1">O3+TEXT(B4-B3,"h")</f>
        <v>8</v>
      </c>
    </row>
    <row r="5" spans="1:15" ht="15.75" customHeight="1" x14ac:dyDescent="0.2">
      <c r="A5" s="8">
        <v>45746</v>
      </c>
      <c r="B5" s="9">
        <v>0.38541666666666669</v>
      </c>
      <c r="C5" s="13">
        <v>10</v>
      </c>
      <c r="D5" s="13">
        <v>7</v>
      </c>
      <c r="E5" s="13">
        <v>3</v>
      </c>
      <c r="F5" s="13">
        <v>15</v>
      </c>
      <c r="G5" s="13">
        <v>0</v>
      </c>
      <c r="H5" s="13">
        <v>3</v>
      </c>
      <c r="I5" s="13">
        <v>17</v>
      </c>
      <c r="J5" s="13">
        <v>2</v>
      </c>
      <c r="K5" s="13">
        <v>1</v>
      </c>
      <c r="L5" s="1">
        <f t="shared" si="0"/>
        <v>14</v>
      </c>
      <c r="M5" s="15">
        <f>(L5/M1)*100</f>
        <v>82.35294117647058</v>
      </c>
      <c r="N5" s="7">
        <v>19.25</v>
      </c>
      <c r="O5" s="7" t="e">
        <f t="shared" si="1"/>
        <v>#VALUE!</v>
      </c>
    </row>
    <row r="6" spans="1:15" ht="15.75" customHeight="1" x14ac:dyDescent="0.2">
      <c r="A6" s="8">
        <v>45746</v>
      </c>
      <c r="B6" s="9">
        <v>0.60416666666666663</v>
      </c>
      <c r="C6" s="13">
        <v>9</v>
      </c>
      <c r="D6" s="13">
        <v>8</v>
      </c>
      <c r="E6" s="13">
        <v>3</v>
      </c>
      <c r="F6" s="13">
        <v>10</v>
      </c>
      <c r="G6" s="13">
        <v>5</v>
      </c>
      <c r="H6" s="13">
        <v>3</v>
      </c>
      <c r="I6" s="13">
        <v>9</v>
      </c>
      <c r="J6" s="13">
        <v>8</v>
      </c>
      <c r="K6" s="13">
        <v>3</v>
      </c>
      <c r="L6" s="1">
        <f t="shared" si="0"/>
        <v>9.3333333333333339</v>
      </c>
      <c r="M6" s="15">
        <f>(L6/M1)*100</f>
        <v>54.901960784313729</v>
      </c>
      <c r="N6" s="7">
        <v>24.5</v>
      </c>
      <c r="O6" s="7" t="e">
        <f t="shared" si="1"/>
        <v>#VALUE!</v>
      </c>
    </row>
    <row r="7" spans="1:15" ht="15.75" customHeight="1" x14ac:dyDescent="0.2">
      <c r="A7" s="8">
        <v>45746</v>
      </c>
      <c r="B7" s="9">
        <v>0.94722222222222219</v>
      </c>
      <c r="C7" s="13">
        <v>0</v>
      </c>
      <c r="D7" s="13">
        <v>17</v>
      </c>
      <c r="E7" s="13">
        <v>3</v>
      </c>
      <c r="F7" s="13">
        <v>4</v>
      </c>
      <c r="G7" s="13">
        <v>11</v>
      </c>
      <c r="H7" s="13">
        <v>3</v>
      </c>
      <c r="I7" s="13">
        <v>3</v>
      </c>
      <c r="J7" s="13">
        <v>14</v>
      </c>
      <c r="K7" s="13">
        <v>3</v>
      </c>
      <c r="L7" s="1">
        <f t="shared" si="0"/>
        <v>2.3333333333333335</v>
      </c>
      <c r="M7" s="15">
        <f>(L7/M1)*100</f>
        <v>13.725490196078432</v>
      </c>
      <c r="N7" s="7">
        <v>32.75</v>
      </c>
      <c r="O7" s="7" t="e">
        <f t="shared" si="1"/>
        <v>#VALUE!</v>
      </c>
    </row>
    <row r="8" spans="1:15" ht="15.75" customHeight="1" x14ac:dyDescent="0.2">
      <c r="A8" s="8">
        <v>45747</v>
      </c>
      <c r="B8" s="9">
        <v>0.37083333333333335</v>
      </c>
      <c r="C8" s="13">
        <v>0</v>
      </c>
      <c r="D8" s="13">
        <v>17</v>
      </c>
      <c r="E8" s="13">
        <v>3</v>
      </c>
      <c r="F8" s="13">
        <v>1</v>
      </c>
      <c r="G8" s="13">
        <v>16</v>
      </c>
      <c r="H8" s="13">
        <v>1</v>
      </c>
      <c r="I8" s="13">
        <v>0</v>
      </c>
      <c r="J8" s="13">
        <v>18</v>
      </c>
      <c r="K8" s="13">
        <v>2</v>
      </c>
      <c r="L8" s="1">
        <f t="shared" si="0"/>
        <v>0.33333333333333331</v>
      </c>
      <c r="M8" s="15">
        <f>(L8/M1)*100</f>
        <v>1.9607843137254901</v>
      </c>
      <c r="N8" s="7">
        <v>43</v>
      </c>
      <c r="O8" s="7" t="e">
        <f t="shared" si="1"/>
        <v>#VALUE!</v>
      </c>
    </row>
    <row r="9" spans="1:15" ht="15.75" customHeight="1" x14ac:dyDescent="0.2">
      <c r="A9" s="8">
        <v>45747</v>
      </c>
      <c r="B9" s="9">
        <v>0.65416666666666667</v>
      </c>
      <c r="C9" s="13">
        <v>0</v>
      </c>
      <c r="D9" s="13">
        <v>19</v>
      </c>
      <c r="E9" s="13">
        <v>1</v>
      </c>
      <c r="F9" s="13">
        <v>0</v>
      </c>
      <c r="G9" s="13">
        <v>18</v>
      </c>
      <c r="H9" s="13">
        <v>0</v>
      </c>
      <c r="I9" s="13">
        <v>0</v>
      </c>
      <c r="J9" s="13">
        <v>18</v>
      </c>
      <c r="K9" s="13">
        <v>2</v>
      </c>
      <c r="L9" s="1">
        <f t="shared" si="0"/>
        <v>0</v>
      </c>
      <c r="M9" s="15">
        <f>(L9/M1)*100</f>
        <v>0</v>
      </c>
      <c r="N9" s="7">
        <v>51.33</v>
      </c>
      <c r="O9" s="7" t="e">
        <f t="shared" si="1"/>
        <v>#VALUE!</v>
      </c>
    </row>
    <row r="10" spans="1:15" ht="15.75" customHeight="1" x14ac:dyDescent="0.2">
      <c r="A10" s="11">
        <v>45748</v>
      </c>
      <c r="B10" s="9">
        <v>4.1666666666666666E-3</v>
      </c>
      <c r="C10" s="13">
        <v>0</v>
      </c>
      <c r="D10" s="13">
        <v>19</v>
      </c>
      <c r="E10" s="13">
        <v>1</v>
      </c>
      <c r="F10" s="13">
        <v>0</v>
      </c>
      <c r="G10" s="13">
        <v>18</v>
      </c>
      <c r="H10" s="13">
        <v>0</v>
      </c>
      <c r="I10" s="13">
        <v>0</v>
      </c>
      <c r="J10" s="13">
        <v>18</v>
      </c>
      <c r="K10" s="13">
        <v>2</v>
      </c>
      <c r="L10" s="1">
        <f t="shared" si="0"/>
        <v>0</v>
      </c>
      <c r="M10" s="15">
        <f>(L10/M1)*100</f>
        <v>0</v>
      </c>
      <c r="N10" s="2">
        <v>59.66</v>
      </c>
      <c r="O10" s="7" t="e">
        <f t="shared" si="1"/>
        <v>#VALUE!</v>
      </c>
    </row>
    <row r="11" spans="1:15" ht="15.75" customHeight="1" x14ac:dyDescent="0.2">
      <c r="A11" s="12"/>
      <c r="B11" s="12"/>
      <c r="C11" s="13"/>
      <c r="D11" s="13"/>
      <c r="E11" s="13"/>
      <c r="F11" s="13"/>
      <c r="G11" s="13"/>
      <c r="H11" s="13"/>
      <c r="I11" s="13"/>
      <c r="J11" s="13"/>
      <c r="K11" s="13" t="s">
        <v>15</v>
      </c>
      <c r="L11" s="7"/>
      <c r="N11" s="7"/>
    </row>
    <row r="12" spans="1:15" ht="15.75" customHeight="1" x14ac:dyDescent="0.2">
      <c r="A12" s="12"/>
      <c r="B12" s="12"/>
      <c r="C12" s="13"/>
      <c r="D12" s="13"/>
      <c r="E12" s="13"/>
      <c r="F12" s="13"/>
      <c r="G12" s="13"/>
      <c r="H12" s="13"/>
      <c r="I12" s="13"/>
      <c r="J12" s="13"/>
      <c r="K12" s="13" t="s">
        <v>19</v>
      </c>
    </row>
    <row r="13" spans="1:15" ht="15.75" customHeight="1" x14ac:dyDescent="0.2">
      <c r="A13" s="12"/>
      <c r="B13" s="12"/>
      <c r="C13" s="13"/>
      <c r="D13" s="13"/>
      <c r="E13" s="13"/>
      <c r="F13" s="13"/>
      <c r="G13" s="13"/>
      <c r="H13" s="13"/>
      <c r="I13" s="13"/>
      <c r="J13" s="13"/>
      <c r="K13" s="13"/>
    </row>
    <row r="14" spans="1:15" ht="15.75" customHeight="1" x14ac:dyDescent="0.2">
      <c r="A14" s="12"/>
      <c r="B14" s="12"/>
      <c r="C14" s="13"/>
      <c r="D14" s="13"/>
      <c r="E14" s="13"/>
      <c r="F14" s="13"/>
      <c r="G14" s="13"/>
      <c r="H14" s="13"/>
      <c r="I14" s="13"/>
      <c r="J14" s="13"/>
      <c r="K14" s="13"/>
    </row>
    <row r="15" spans="1:15" ht="15.75" customHeight="1" x14ac:dyDescent="0.2">
      <c r="A15" s="12"/>
      <c r="B15" s="12"/>
      <c r="C15" s="13"/>
      <c r="D15" s="13"/>
      <c r="E15" s="13"/>
      <c r="F15" s="13"/>
      <c r="G15" s="13"/>
      <c r="H15" s="13"/>
      <c r="I15" s="13"/>
      <c r="J15" s="13"/>
      <c r="K15" s="13"/>
    </row>
    <row r="16" spans="1:15" ht="15.75" customHeight="1" x14ac:dyDescent="0.2">
      <c r="A16" s="12"/>
      <c r="B16" s="12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5.75" customHeight="1" x14ac:dyDescent="0.2">
      <c r="A17" s="12"/>
      <c r="B17" s="12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5.75" customHeight="1" x14ac:dyDescent="0.2">
      <c r="A18" s="12"/>
      <c r="B18" s="12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.75" customHeight="1" x14ac:dyDescent="0.2">
      <c r="A19" s="12"/>
      <c r="B19" s="12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.75" customHeight="1" x14ac:dyDescent="0.2">
      <c r="A20" s="12"/>
      <c r="B20" s="12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.75" customHeight="1" x14ac:dyDescent="0.2">
      <c r="A21" s="12"/>
      <c r="B21" s="12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.75" customHeight="1" x14ac:dyDescent="0.2">
      <c r="A22" s="12"/>
      <c r="B22" s="12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.75" customHeight="1" x14ac:dyDescent="0.2">
      <c r="A23" s="12"/>
      <c r="B23" s="12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.75" customHeight="1" x14ac:dyDescent="0.2">
      <c r="A24" s="12"/>
      <c r="B24" s="12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.75" customHeight="1" x14ac:dyDescent="0.2">
      <c r="A25" s="12"/>
      <c r="B25" s="12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.75" customHeight="1" x14ac:dyDescent="0.2">
      <c r="A26" s="12"/>
      <c r="B26" s="12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.75" customHeight="1" x14ac:dyDescent="0.2">
      <c r="A27" s="12"/>
      <c r="B27" s="12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.75" customHeight="1" x14ac:dyDescent="0.2">
      <c r="A28" s="12"/>
      <c r="B28" s="12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.75" customHeight="1" x14ac:dyDescent="0.2">
      <c r="A29" s="12"/>
      <c r="B29" s="12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.75" customHeight="1" x14ac:dyDescent="0.2">
      <c r="A30" s="12"/>
      <c r="B30" s="12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.75" customHeight="1" x14ac:dyDescent="0.2">
      <c r="A31" s="12"/>
      <c r="B31" s="12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.75" customHeight="1" x14ac:dyDescent="0.2">
      <c r="A32" s="12"/>
      <c r="B32" s="12"/>
      <c r="C32" s="13"/>
      <c r="D32" s="13"/>
      <c r="E32" s="13"/>
      <c r="F32" s="13"/>
      <c r="G32" s="13"/>
      <c r="H32" s="13"/>
      <c r="I32" s="13"/>
      <c r="J32" s="13"/>
      <c r="K32" s="13"/>
    </row>
    <row r="33" spans="1:11" ht="15.75" customHeight="1" x14ac:dyDescent="0.2">
      <c r="A33" s="12"/>
      <c r="B33" s="12"/>
      <c r="C33" s="13"/>
      <c r="D33" s="13"/>
      <c r="E33" s="13"/>
      <c r="F33" s="13"/>
      <c r="G33" s="13"/>
      <c r="H33" s="13"/>
      <c r="I33" s="13"/>
      <c r="J33" s="13"/>
      <c r="K33" s="13"/>
    </row>
    <row r="34" spans="1:11" ht="15.75" customHeight="1" x14ac:dyDescent="0.2">
      <c r="A34" s="12"/>
      <c r="B34" s="12"/>
      <c r="C34" s="13"/>
      <c r="D34" s="13"/>
      <c r="E34" s="13"/>
      <c r="F34" s="13"/>
      <c r="G34" s="13"/>
      <c r="H34" s="13"/>
      <c r="I34" s="13"/>
      <c r="J34" s="13"/>
      <c r="K34" s="13"/>
    </row>
    <row r="35" spans="1:11" ht="15.75" customHeight="1" x14ac:dyDescent="0.2">
      <c r="A35" s="12"/>
      <c r="B35" s="12"/>
      <c r="C35" s="13"/>
      <c r="D35" s="13"/>
      <c r="E35" s="13"/>
      <c r="F35" s="13"/>
      <c r="G35" s="13"/>
      <c r="H35" s="13"/>
      <c r="I35" s="13"/>
      <c r="J35" s="13"/>
      <c r="K35" s="13"/>
    </row>
    <row r="36" spans="1:11" ht="15.75" customHeight="1" x14ac:dyDescent="0.2">
      <c r="A36" s="12"/>
      <c r="B36" s="12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5.75" customHeight="1" x14ac:dyDescent="0.2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</row>
    <row r="38" spans="1:11" ht="15.75" customHeight="1" x14ac:dyDescent="0.2">
      <c r="A38" s="12"/>
      <c r="B38" s="12"/>
      <c r="C38" s="13"/>
      <c r="D38" s="13"/>
      <c r="E38" s="13"/>
      <c r="F38" s="13"/>
      <c r="G38" s="13"/>
      <c r="H38" s="13"/>
      <c r="I38" s="13"/>
      <c r="J38" s="13"/>
      <c r="K38" s="13"/>
    </row>
    <row r="39" spans="1:11" ht="15.75" customHeight="1" x14ac:dyDescent="0.2">
      <c r="A39" s="12"/>
      <c r="B39" s="12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15.75" customHeight="1" x14ac:dyDescent="0.2">
      <c r="A40" s="12"/>
      <c r="B40" s="12"/>
      <c r="C40" s="13"/>
      <c r="D40" s="13"/>
      <c r="E40" s="13"/>
      <c r="F40" s="13"/>
      <c r="G40" s="13"/>
      <c r="H40" s="13"/>
      <c r="I40" s="13"/>
      <c r="J40" s="13"/>
      <c r="K40" s="13"/>
    </row>
    <row r="41" spans="1:11" ht="15.75" customHeight="1" x14ac:dyDescent="0.2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</row>
    <row r="42" spans="1:11" ht="15.75" customHeight="1" x14ac:dyDescent="0.2">
      <c r="A42" s="12"/>
      <c r="B42" s="12"/>
      <c r="C42" s="13"/>
      <c r="D42" s="13"/>
      <c r="E42" s="13"/>
      <c r="F42" s="13"/>
      <c r="G42" s="13"/>
      <c r="H42" s="13"/>
      <c r="I42" s="13"/>
      <c r="J42" s="13"/>
      <c r="K42" s="13"/>
    </row>
    <row r="43" spans="1:11" ht="15.75" customHeight="1" x14ac:dyDescent="0.2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3"/>
    </row>
    <row r="44" spans="1:11" ht="15.75" customHeight="1" x14ac:dyDescent="0.2">
      <c r="A44" s="12"/>
      <c r="B44" s="12"/>
      <c r="C44" s="13"/>
      <c r="D44" s="13"/>
      <c r="E44" s="13"/>
      <c r="F44" s="13"/>
      <c r="G44" s="13"/>
      <c r="H44" s="13"/>
      <c r="I44" s="13"/>
      <c r="J44" s="13"/>
      <c r="K44" s="13"/>
    </row>
    <row r="45" spans="1:11" ht="15.75" customHeight="1" x14ac:dyDescent="0.2">
      <c r="A45" s="12"/>
      <c r="B45" s="12"/>
      <c r="C45" s="13"/>
      <c r="D45" s="13"/>
      <c r="E45" s="13"/>
      <c r="F45" s="13"/>
      <c r="G45" s="13"/>
      <c r="H45" s="13"/>
      <c r="I45" s="13"/>
      <c r="J45" s="13"/>
      <c r="K45" s="13"/>
    </row>
    <row r="46" spans="1:11" ht="15.75" customHeight="1" x14ac:dyDescent="0.2">
      <c r="A46" s="12"/>
      <c r="B46" s="12"/>
      <c r="C46" s="13"/>
      <c r="D46" s="13"/>
      <c r="E46" s="13"/>
      <c r="F46" s="13"/>
      <c r="G46" s="13"/>
      <c r="H46" s="13"/>
      <c r="I46" s="13"/>
      <c r="J46" s="13"/>
      <c r="K46" s="13"/>
    </row>
    <row r="47" spans="1:11" ht="15.75" customHeight="1" x14ac:dyDescent="0.2">
      <c r="A47" s="12"/>
      <c r="B47" s="12"/>
      <c r="C47" s="13"/>
      <c r="D47" s="13"/>
      <c r="E47" s="13"/>
      <c r="F47" s="13"/>
      <c r="G47" s="13"/>
      <c r="H47" s="13"/>
      <c r="I47" s="13"/>
      <c r="J47" s="13"/>
      <c r="K47" s="13"/>
    </row>
    <row r="48" spans="1:11" ht="15.75" customHeight="1" x14ac:dyDescent="0.2">
      <c r="A48" s="12"/>
      <c r="B48" s="12"/>
      <c r="C48" s="13"/>
      <c r="D48" s="13"/>
      <c r="E48" s="13"/>
      <c r="F48" s="13"/>
      <c r="G48" s="13"/>
      <c r="H48" s="13"/>
      <c r="I48" s="13"/>
      <c r="J48" s="13"/>
      <c r="K48" s="13"/>
    </row>
    <row r="49" spans="1:11" ht="15.75" customHeight="1" x14ac:dyDescent="0.2">
      <c r="A49" s="12"/>
      <c r="B49" s="12"/>
      <c r="C49" s="13"/>
      <c r="D49" s="13"/>
      <c r="E49" s="13"/>
      <c r="F49" s="13"/>
      <c r="G49" s="13"/>
      <c r="H49" s="13"/>
      <c r="I49" s="13"/>
      <c r="J49" s="13"/>
      <c r="K49" s="13"/>
    </row>
    <row r="50" spans="1:11" ht="15.75" customHeight="1" x14ac:dyDescent="0.2">
      <c r="A50" s="12"/>
      <c r="B50" s="12"/>
      <c r="C50" s="13"/>
      <c r="D50" s="13"/>
      <c r="E50" s="13"/>
      <c r="F50" s="13"/>
      <c r="G50" s="13"/>
      <c r="H50" s="13"/>
      <c r="I50" s="13"/>
      <c r="J50" s="13"/>
      <c r="K50" s="13"/>
    </row>
    <row r="51" spans="1:11" ht="15.75" customHeight="1" x14ac:dyDescent="0.2">
      <c r="A51" s="3"/>
      <c r="B51" s="12"/>
      <c r="C51" s="13"/>
      <c r="D51" s="13"/>
      <c r="E51" s="13"/>
      <c r="F51" s="13"/>
      <c r="G51" s="13"/>
      <c r="H51" s="13"/>
      <c r="I51" s="13"/>
      <c r="J51" s="13"/>
      <c r="K51" s="13"/>
    </row>
    <row r="52" spans="1:11" ht="15.75" customHeight="1" x14ac:dyDescent="0.2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</row>
    <row r="53" spans="1:11" ht="15.75" customHeight="1" x14ac:dyDescent="0.2">
      <c r="A53" s="12"/>
      <c r="B53" s="12"/>
      <c r="C53" s="13"/>
      <c r="D53" s="13"/>
      <c r="E53" s="13"/>
      <c r="F53" s="13"/>
      <c r="G53" s="13"/>
      <c r="H53" s="13"/>
      <c r="I53" s="13"/>
      <c r="J53" s="13"/>
      <c r="K53" s="13"/>
    </row>
    <row r="54" spans="1:11" ht="15.75" customHeight="1" x14ac:dyDescent="0.2">
      <c r="A54" s="12"/>
      <c r="B54" s="12"/>
      <c r="C54" s="13"/>
      <c r="D54" s="13"/>
      <c r="E54" s="13"/>
      <c r="F54" s="13"/>
      <c r="G54" s="13"/>
      <c r="H54" s="13"/>
      <c r="I54" s="13"/>
      <c r="J54" s="13"/>
      <c r="K54" s="13"/>
    </row>
    <row r="55" spans="1:11" ht="15.75" customHeight="1" x14ac:dyDescent="0.2">
      <c r="A55" s="12"/>
      <c r="B55" s="12"/>
      <c r="C55" s="13"/>
      <c r="D55" s="13"/>
      <c r="E55" s="13"/>
      <c r="F55" s="13"/>
      <c r="G55" s="13"/>
      <c r="H55" s="13"/>
      <c r="I55" s="13"/>
      <c r="J55" s="13"/>
      <c r="K55" s="13"/>
    </row>
    <row r="56" spans="1:11" ht="15.75" customHeight="1" x14ac:dyDescent="0.2">
      <c r="A56" s="12"/>
      <c r="B56" s="12"/>
      <c r="C56" s="13"/>
      <c r="D56" s="13"/>
      <c r="E56" s="13"/>
      <c r="F56" s="13"/>
      <c r="G56" s="13"/>
      <c r="H56" s="13"/>
      <c r="I56" s="13"/>
      <c r="J56" s="13"/>
      <c r="K56" s="13"/>
    </row>
    <row r="57" spans="1:11" ht="15.75" customHeight="1" x14ac:dyDescent="0.2">
      <c r="A57" s="12"/>
      <c r="B57" s="12"/>
      <c r="C57" s="13"/>
      <c r="D57" s="13"/>
      <c r="E57" s="13"/>
      <c r="F57" s="13"/>
      <c r="G57" s="13"/>
      <c r="H57" s="13"/>
      <c r="I57" s="13"/>
      <c r="J57" s="13"/>
      <c r="K57" s="13"/>
    </row>
    <row r="58" spans="1:11" ht="15.75" customHeight="1" x14ac:dyDescent="0.2">
      <c r="A58" s="12"/>
      <c r="B58" s="12"/>
      <c r="C58" s="13"/>
      <c r="D58" s="13"/>
      <c r="E58" s="13"/>
      <c r="F58" s="13"/>
      <c r="G58" s="13"/>
      <c r="H58" s="13"/>
      <c r="I58" s="13"/>
      <c r="J58" s="13"/>
      <c r="K58" s="13"/>
    </row>
    <row r="59" spans="1:11" ht="15.75" customHeight="1" x14ac:dyDescent="0.2">
      <c r="A59" s="12"/>
      <c r="B59" s="12"/>
      <c r="C59" s="13"/>
      <c r="D59" s="13"/>
      <c r="E59" s="13"/>
      <c r="F59" s="13"/>
      <c r="G59" s="13"/>
      <c r="H59" s="13"/>
      <c r="I59" s="13"/>
      <c r="J59" s="13"/>
      <c r="K59" s="13"/>
    </row>
    <row r="60" spans="1:11" ht="15.75" customHeight="1" x14ac:dyDescent="0.2">
      <c r="A60" s="12"/>
      <c r="B60" s="12"/>
      <c r="C60" s="13"/>
      <c r="D60" s="13"/>
      <c r="E60" s="13"/>
      <c r="F60" s="13"/>
      <c r="G60" s="13"/>
      <c r="H60" s="13"/>
      <c r="I60" s="13"/>
      <c r="J60" s="13"/>
      <c r="K60" s="13"/>
    </row>
    <row r="61" spans="1:11" ht="15.75" customHeight="1" x14ac:dyDescent="0.2">
      <c r="A61" s="12"/>
      <c r="B61" s="12"/>
      <c r="C61" s="13"/>
      <c r="D61" s="13"/>
      <c r="E61" s="13"/>
      <c r="F61" s="13"/>
      <c r="G61" s="13"/>
      <c r="H61" s="13"/>
      <c r="I61" s="13"/>
      <c r="J61" s="13"/>
      <c r="K61" s="13"/>
    </row>
    <row r="62" spans="1:11" ht="15.75" customHeight="1" x14ac:dyDescent="0.2">
      <c r="A62" s="12"/>
      <c r="B62" s="12"/>
      <c r="C62" s="13"/>
      <c r="D62" s="13"/>
      <c r="E62" s="13"/>
      <c r="F62" s="13"/>
      <c r="G62" s="13"/>
      <c r="H62" s="13"/>
      <c r="I62" s="13"/>
      <c r="J62" s="13"/>
      <c r="K62" s="13"/>
    </row>
    <row r="63" spans="1:11" ht="15.75" customHeight="1" x14ac:dyDescent="0.2">
      <c r="A63" s="12"/>
      <c r="B63" s="12"/>
      <c r="C63" s="13"/>
      <c r="D63" s="13"/>
      <c r="E63" s="13"/>
      <c r="F63" s="13"/>
      <c r="G63" s="13"/>
      <c r="H63" s="13"/>
      <c r="I63" s="13"/>
      <c r="J63" s="13"/>
      <c r="K63" s="13"/>
    </row>
    <row r="64" spans="1:11" ht="15.75" customHeight="1" x14ac:dyDescent="0.2">
      <c r="A64" s="12"/>
      <c r="B64" s="12"/>
      <c r="C64" s="13"/>
      <c r="D64" s="13"/>
      <c r="E64" s="13"/>
      <c r="F64" s="13"/>
      <c r="G64" s="13"/>
      <c r="H64" s="13"/>
      <c r="I64" s="13"/>
      <c r="J64" s="13"/>
      <c r="K64" s="13"/>
    </row>
    <row r="65" spans="1:11" ht="15.75" customHeight="1" x14ac:dyDescent="0.2">
      <c r="A65" s="12"/>
      <c r="B65" s="12"/>
      <c r="C65" s="13"/>
      <c r="D65" s="13"/>
      <c r="E65" s="13"/>
      <c r="F65" s="13"/>
      <c r="G65" s="13"/>
      <c r="H65" s="13"/>
      <c r="I65" s="13"/>
      <c r="J65" s="13"/>
      <c r="K65" s="13"/>
    </row>
    <row r="66" spans="1:11" ht="15.75" customHeight="1" x14ac:dyDescent="0.2">
      <c r="A66" s="12"/>
      <c r="B66" s="12"/>
      <c r="C66" s="13"/>
      <c r="D66" s="13"/>
      <c r="E66" s="13"/>
      <c r="F66" s="13"/>
      <c r="G66" s="13"/>
      <c r="H66" s="13"/>
      <c r="I66" s="13"/>
      <c r="J66" s="13"/>
      <c r="K66" s="13"/>
    </row>
    <row r="67" spans="1:11" ht="15.75" customHeight="1" x14ac:dyDescent="0.2">
      <c r="A67" s="12"/>
      <c r="B67" s="12"/>
      <c r="C67" s="13"/>
      <c r="D67" s="13"/>
      <c r="E67" s="13"/>
      <c r="F67" s="13"/>
      <c r="G67" s="13"/>
      <c r="H67" s="13"/>
      <c r="I67" s="13"/>
      <c r="J67" s="13"/>
      <c r="K67" s="13"/>
    </row>
    <row r="68" spans="1:11" ht="15.75" customHeight="1" x14ac:dyDescent="0.2">
      <c r="A68" s="12"/>
      <c r="B68" s="12"/>
      <c r="C68" s="13"/>
      <c r="D68" s="13"/>
      <c r="E68" s="13"/>
      <c r="F68" s="13"/>
      <c r="G68" s="13"/>
      <c r="H68" s="13"/>
      <c r="I68" s="13"/>
      <c r="J68" s="13"/>
      <c r="K68" s="13"/>
    </row>
    <row r="69" spans="1:11" ht="15.75" customHeight="1" x14ac:dyDescent="0.2">
      <c r="A69" s="12"/>
      <c r="B69" s="12"/>
      <c r="C69" s="13"/>
      <c r="D69" s="13"/>
      <c r="E69" s="13"/>
      <c r="F69" s="13"/>
      <c r="G69" s="13"/>
      <c r="H69" s="13"/>
      <c r="I69" s="13"/>
      <c r="J69" s="13"/>
      <c r="K69" s="13"/>
    </row>
    <row r="70" spans="1:11" ht="15.75" customHeight="1" x14ac:dyDescent="0.2">
      <c r="A70" s="12"/>
      <c r="B70" s="12"/>
      <c r="C70" s="13"/>
      <c r="D70" s="13"/>
      <c r="E70" s="13"/>
      <c r="F70" s="13"/>
      <c r="G70" s="13"/>
      <c r="H70" s="13"/>
      <c r="I70" s="13"/>
      <c r="J70" s="13"/>
      <c r="K70" s="13"/>
    </row>
    <row r="71" spans="1:11" ht="15.75" customHeight="1" x14ac:dyDescent="0.2">
      <c r="A71" s="12"/>
      <c r="B71" s="12"/>
      <c r="C71" s="13"/>
      <c r="D71" s="13"/>
      <c r="E71" s="13"/>
      <c r="F71" s="13"/>
      <c r="G71" s="13"/>
      <c r="H71" s="13"/>
      <c r="I71" s="13"/>
      <c r="J71" s="13"/>
      <c r="K71" s="13"/>
    </row>
    <row r="72" spans="1:11" ht="15.75" customHeight="1" x14ac:dyDescent="0.2">
      <c r="A72" s="12"/>
      <c r="B72" s="12"/>
      <c r="C72" s="13"/>
      <c r="D72" s="13"/>
      <c r="E72" s="13"/>
      <c r="F72" s="13"/>
      <c r="G72" s="13"/>
      <c r="H72" s="13"/>
      <c r="I72" s="13"/>
      <c r="J72" s="13"/>
      <c r="K72" s="13"/>
    </row>
    <row r="73" spans="1:11" ht="15.75" customHeight="1" x14ac:dyDescent="0.2">
      <c r="A73" s="12"/>
      <c r="B73" s="12"/>
      <c r="C73" s="13"/>
      <c r="D73" s="13"/>
      <c r="E73" s="13"/>
      <c r="F73" s="13"/>
      <c r="G73" s="13"/>
      <c r="H73" s="13"/>
      <c r="I73" s="13"/>
      <c r="J73" s="13"/>
      <c r="K73" s="13"/>
    </row>
    <row r="74" spans="1:11" ht="15.75" customHeight="1" x14ac:dyDescent="0.2">
      <c r="A74" s="12"/>
      <c r="B74" s="12"/>
      <c r="C74" s="13"/>
      <c r="D74" s="13"/>
      <c r="E74" s="13"/>
      <c r="F74" s="13"/>
      <c r="G74" s="13"/>
      <c r="H74" s="13"/>
      <c r="I74" s="13"/>
      <c r="J74" s="13"/>
      <c r="K74" s="13"/>
    </row>
    <row r="75" spans="1:11" ht="15.75" customHeight="1" x14ac:dyDescent="0.2">
      <c r="A75" s="12"/>
      <c r="B75" s="12"/>
      <c r="C75" s="13"/>
      <c r="D75" s="13"/>
      <c r="E75" s="13"/>
      <c r="F75" s="13"/>
      <c r="G75" s="13"/>
      <c r="H75" s="13"/>
      <c r="I75" s="13"/>
      <c r="J75" s="13"/>
      <c r="K75" s="13"/>
    </row>
    <row r="76" spans="1:11" ht="15.75" customHeight="1" x14ac:dyDescent="0.2">
      <c r="A76" s="12"/>
      <c r="B76" s="12"/>
      <c r="C76" s="13"/>
      <c r="D76" s="13"/>
      <c r="E76" s="13"/>
      <c r="F76" s="13"/>
      <c r="G76" s="13"/>
      <c r="H76" s="13"/>
      <c r="I76" s="13"/>
      <c r="J76" s="13"/>
      <c r="K76" s="13"/>
    </row>
    <row r="77" spans="1:11" ht="15.75" customHeight="1" x14ac:dyDescent="0.2">
      <c r="A77" s="12"/>
      <c r="B77" s="12"/>
      <c r="C77" s="13"/>
      <c r="D77" s="13"/>
      <c r="E77" s="13"/>
      <c r="F77" s="13"/>
      <c r="G77" s="13"/>
      <c r="H77" s="13"/>
      <c r="I77" s="13"/>
      <c r="J77" s="13"/>
      <c r="K77" s="13"/>
    </row>
    <row r="78" spans="1:11" ht="15.75" customHeight="1" x14ac:dyDescent="0.2">
      <c r="A78" s="12"/>
      <c r="B78" s="12"/>
      <c r="C78" s="13"/>
      <c r="D78" s="13"/>
      <c r="E78" s="13"/>
      <c r="F78" s="13"/>
      <c r="G78" s="13"/>
      <c r="H78" s="13"/>
      <c r="I78" s="13"/>
      <c r="J78" s="13"/>
      <c r="K78" s="13"/>
    </row>
    <row r="79" spans="1:11" ht="15.75" customHeight="1" x14ac:dyDescent="0.2">
      <c r="A79" s="12"/>
      <c r="B79" s="12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5.75" customHeight="1" x14ac:dyDescent="0.2">
      <c r="A80" s="12"/>
      <c r="B80" s="12"/>
      <c r="C80" s="13"/>
      <c r="D80" s="13"/>
      <c r="E80" s="13"/>
      <c r="F80" s="13"/>
      <c r="G80" s="13"/>
      <c r="H80" s="13"/>
      <c r="I80" s="13"/>
      <c r="J80" s="13"/>
      <c r="K80" s="13"/>
    </row>
    <row r="81" spans="1:11" ht="15.75" customHeight="1" x14ac:dyDescent="0.2">
      <c r="A81" s="12"/>
      <c r="B81" s="12"/>
      <c r="C81" s="13"/>
      <c r="D81" s="13"/>
      <c r="E81" s="13"/>
      <c r="F81" s="13"/>
      <c r="G81" s="13"/>
      <c r="H81" s="13"/>
      <c r="I81" s="13"/>
      <c r="J81" s="13"/>
      <c r="K81" s="13"/>
    </row>
    <row r="82" spans="1:11" ht="15.75" customHeight="1" x14ac:dyDescent="0.2">
      <c r="A82" s="12"/>
      <c r="B82" s="12"/>
      <c r="C82" s="13"/>
      <c r="D82" s="13"/>
      <c r="E82" s="13"/>
      <c r="F82" s="13"/>
      <c r="G82" s="13"/>
      <c r="H82" s="13"/>
      <c r="I82" s="13"/>
      <c r="J82" s="13"/>
      <c r="K82" s="13"/>
    </row>
    <row r="83" spans="1:11" ht="15.75" customHeight="1" x14ac:dyDescent="0.2">
      <c r="A83" s="12"/>
      <c r="B83" s="12"/>
      <c r="C83" s="13"/>
      <c r="D83" s="13"/>
      <c r="E83" s="13"/>
      <c r="F83" s="13"/>
      <c r="G83" s="13"/>
      <c r="H83" s="13"/>
      <c r="I83" s="13"/>
      <c r="J83" s="13"/>
      <c r="K83" s="13"/>
    </row>
    <row r="84" spans="1:11" ht="15.75" customHeight="1" x14ac:dyDescent="0.2">
      <c r="A84" s="12"/>
      <c r="B84" s="12"/>
      <c r="C84" s="13"/>
      <c r="D84" s="13"/>
      <c r="E84" s="13"/>
      <c r="F84" s="13"/>
      <c r="G84" s="13"/>
      <c r="H84" s="13"/>
      <c r="I84" s="13"/>
      <c r="J84" s="13"/>
      <c r="K84" s="13"/>
    </row>
    <row r="85" spans="1:11" ht="15.75" customHeight="1" x14ac:dyDescent="0.2">
      <c r="A85" s="12"/>
      <c r="B85" s="12"/>
      <c r="C85" s="13"/>
      <c r="D85" s="13"/>
      <c r="E85" s="13"/>
      <c r="F85" s="13"/>
      <c r="G85" s="13"/>
      <c r="H85" s="13"/>
      <c r="I85" s="13"/>
      <c r="J85" s="13"/>
      <c r="K85" s="13"/>
    </row>
    <row r="86" spans="1:11" ht="15.75" customHeight="1" x14ac:dyDescent="0.2">
      <c r="A86" s="12"/>
      <c r="B86" s="12"/>
      <c r="C86" s="13"/>
      <c r="D86" s="13"/>
      <c r="E86" s="13"/>
      <c r="F86" s="13"/>
      <c r="G86" s="13"/>
      <c r="H86" s="13"/>
      <c r="I86" s="13"/>
      <c r="J86" s="13"/>
      <c r="K86" s="13"/>
    </row>
    <row r="87" spans="1:11" ht="15.75" customHeight="1" x14ac:dyDescent="0.2">
      <c r="A87" s="12"/>
      <c r="B87" s="12"/>
      <c r="C87" s="13"/>
      <c r="D87" s="13"/>
      <c r="E87" s="13"/>
      <c r="F87" s="13"/>
      <c r="G87" s="13"/>
      <c r="H87" s="13"/>
      <c r="I87" s="13"/>
      <c r="J87" s="13"/>
      <c r="K87" s="13"/>
    </row>
    <row r="88" spans="1:11" ht="15.75" customHeight="1" x14ac:dyDescent="0.2">
      <c r="A88" s="12"/>
      <c r="B88" s="12"/>
      <c r="C88" s="13"/>
      <c r="D88" s="13"/>
      <c r="E88" s="13"/>
      <c r="F88" s="13"/>
      <c r="G88" s="13"/>
      <c r="H88" s="13"/>
      <c r="I88" s="13"/>
      <c r="J88" s="13"/>
      <c r="K88" s="13"/>
    </row>
    <row r="89" spans="1:11" ht="15.75" customHeight="1" x14ac:dyDescent="0.2">
      <c r="A89" s="12"/>
      <c r="B89" s="12"/>
      <c r="C89" s="13"/>
      <c r="D89" s="13"/>
      <c r="E89" s="13"/>
      <c r="F89" s="13"/>
      <c r="G89" s="13"/>
      <c r="H89" s="13"/>
      <c r="I89" s="13"/>
      <c r="J89" s="13"/>
      <c r="K89" s="13"/>
    </row>
    <row r="90" spans="1:11" ht="15.75" customHeight="1" x14ac:dyDescent="0.2">
      <c r="A90" s="12"/>
      <c r="B90" s="12"/>
      <c r="C90" s="13"/>
      <c r="D90" s="13"/>
      <c r="E90" s="13"/>
      <c r="F90" s="13"/>
      <c r="G90" s="13"/>
      <c r="H90" s="13"/>
      <c r="I90" s="13"/>
      <c r="J90" s="13"/>
      <c r="K90" s="13"/>
    </row>
    <row r="91" spans="1:11" ht="15.75" customHeight="1" x14ac:dyDescent="0.2">
      <c r="A91" s="12"/>
      <c r="B91" s="12"/>
      <c r="C91" s="13"/>
      <c r="D91" s="13"/>
      <c r="E91" s="13"/>
      <c r="F91" s="13"/>
      <c r="G91" s="13"/>
      <c r="H91" s="13"/>
      <c r="I91" s="13"/>
      <c r="J91" s="13"/>
      <c r="K91" s="13"/>
    </row>
    <row r="92" spans="1:11" ht="15.75" customHeight="1" x14ac:dyDescent="0.2">
      <c r="A92" s="12"/>
      <c r="B92" s="12"/>
      <c r="C92" s="13"/>
      <c r="D92" s="13"/>
      <c r="E92" s="13"/>
      <c r="F92" s="13"/>
      <c r="G92" s="13"/>
      <c r="H92" s="13"/>
      <c r="I92" s="13"/>
      <c r="J92" s="13"/>
      <c r="K92" s="13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0"/>
  <sheetViews>
    <sheetView workbookViewId="0">
      <selection activeCell="O2" sqref="O2:O10"/>
    </sheetView>
  </sheetViews>
  <sheetFormatPr defaultColWidth="12.5703125" defaultRowHeight="15" customHeight="1" x14ac:dyDescent="0.2"/>
  <cols>
    <col min="1" max="2" width="12.5703125" customWidth="1"/>
    <col min="3" max="3" width="24" style="25" customWidth="1"/>
    <col min="4" max="7" width="12.5703125" customWidth="1"/>
    <col min="16" max="16" width="16.42578125" customWidth="1"/>
  </cols>
  <sheetData>
    <row r="1" spans="1:17" ht="15.75" customHeight="1" x14ac:dyDescent="0.2">
      <c r="A1" s="27" t="s">
        <v>0</v>
      </c>
      <c r="B1" s="28"/>
      <c r="C1" s="22"/>
      <c r="D1" s="27" t="s">
        <v>20</v>
      </c>
      <c r="E1" s="29"/>
      <c r="F1" s="28"/>
      <c r="G1" s="27" t="s">
        <v>21</v>
      </c>
      <c r="H1" s="29"/>
      <c r="I1" s="28"/>
      <c r="J1" s="27" t="s">
        <v>22</v>
      </c>
      <c r="K1" s="29"/>
      <c r="L1" s="28"/>
      <c r="M1" s="1" t="s">
        <v>4</v>
      </c>
      <c r="N1" s="1">
        <f>AVERAGE(D3,G3,J3)</f>
        <v>9.6666666666666661</v>
      </c>
    </row>
    <row r="2" spans="1:17" ht="15.75" customHeight="1" x14ac:dyDescent="0.2">
      <c r="A2" s="3" t="s">
        <v>6</v>
      </c>
      <c r="B2" s="3" t="s">
        <v>7</v>
      </c>
      <c r="C2" s="23"/>
      <c r="D2" s="4" t="s">
        <v>8</v>
      </c>
      <c r="E2" s="4" t="s">
        <v>9</v>
      </c>
      <c r="F2" s="4" t="s">
        <v>10</v>
      </c>
      <c r="G2" s="4" t="s">
        <v>8</v>
      </c>
      <c r="H2" s="4" t="s">
        <v>9</v>
      </c>
      <c r="I2" s="4" t="s">
        <v>10</v>
      </c>
      <c r="J2" s="4" t="s">
        <v>8</v>
      </c>
      <c r="K2" s="4" t="s">
        <v>9</v>
      </c>
      <c r="L2" s="4" t="s">
        <v>10</v>
      </c>
      <c r="M2" s="5" t="s">
        <v>11</v>
      </c>
      <c r="N2" s="14" t="s">
        <v>12</v>
      </c>
      <c r="O2" s="5" t="s">
        <v>13</v>
      </c>
      <c r="P2" s="7" t="s">
        <v>14</v>
      </c>
    </row>
    <row r="3" spans="1:17" ht="15.75" customHeight="1" x14ac:dyDescent="0.2">
      <c r="A3" s="8">
        <v>45745</v>
      </c>
      <c r="B3" s="9">
        <v>0.58333333333333337</v>
      </c>
      <c r="C3" s="24">
        <f>A3+B3</f>
        <v>45745.583333333336</v>
      </c>
      <c r="D3" s="13">
        <v>11</v>
      </c>
      <c r="E3" s="13">
        <v>0</v>
      </c>
      <c r="F3" s="13">
        <v>0</v>
      </c>
      <c r="G3" s="13">
        <v>8</v>
      </c>
      <c r="H3" s="13">
        <v>0</v>
      </c>
      <c r="I3" s="13">
        <v>0</v>
      </c>
      <c r="J3" s="13">
        <v>10</v>
      </c>
      <c r="K3" s="13">
        <v>0</v>
      </c>
      <c r="L3" s="13">
        <v>0</v>
      </c>
      <c r="M3" s="1">
        <f t="shared" ref="M3:M10" si="0">AVERAGE(D3,G3,J3)</f>
        <v>9.6666666666666661</v>
      </c>
      <c r="N3" s="15">
        <f>M3/N1*100</f>
        <v>100</v>
      </c>
      <c r="O3" s="7">
        <v>0</v>
      </c>
      <c r="P3" s="7" t="str">
        <f>TEXT(B3-B3,"h")</f>
        <v>0</v>
      </c>
    </row>
    <row r="4" spans="1:17" ht="15.75" customHeight="1" x14ac:dyDescent="0.2">
      <c r="A4" s="8">
        <v>45745</v>
      </c>
      <c r="B4" s="9">
        <v>0.95625000000000004</v>
      </c>
      <c r="C4" s="24">
        <f t="shared" ref="C4:C10" si="1">A4+B4</f>
        <v>45745.956250000003</v>
      </c>
      <c r="D4" s="13">
        <v>10</v>
      </c>
      <c r="E4" s="13">
        <v>0</v>
      </c>
      <c r="F4" s="13">
        <v>1</v>
      </c>
      <c r="G4" s="13">
        <v>7</v>
      </c>
      <c r="H4" s="13">
        <v>0</v>
      </c>
      <c r="I4" s="13">
        <v>1</v>
      </c>
      <c r="J4" s="13">
        <v>9</v>
      </c>
      <c r="K4" s="13">
        <v>0</v>
      </c>
      <c r="L4" s="13">
        <v>1</v>
      </c>
      <c r="M4" s="1">
        <f t="shared" si="0"/>
        <v>8.6666666666666661</v>
      </c>
      <c r="N4" s="15">
        <f>M4/N1*100</f>
        <v>89.65517241379311</v>
      </c>
      <c r="O4" s="7">
        <v>9</v>
      </c>
      <c r="P4" s="7">
        <f>P3+TEXT(B4-B3,"h")</f>
        <v>8</v>
      </c>
    </row>
    <row r="5" spans="1:17" ht="15.75" customHeight="1" x14ac:dyDescent="0.2">
      <c r="A5" s="8">
        <v>45746</v>
      </c>
      <c r="B5" s="9">
        <v>0.39583333333333331</v>
      </c>
      <c r="C5" s="24">
        <f t="shared" si="1"/>
        <v>45746.395833333336</v>
      </c>
      <c r="D5" s="13">
        <v>6</v>
      </c>
      <c r="E5" s="13">
        <v>4</v>
      </c>
      <c r="F5" s="13">
        <v>1</v>
      </c>
      <c r="G5" s="13">
        <v>5</v>
      </c>
      <c r="H5" s="13">
        <v>0</v>
      </c>
      <c r="I5" s="13">
        <v>3</v>
      </c>
      <c r="J5" s="13">
        <v>7</v>
      </c>
      <c r="K5" s="13">
        <v>2</v>
      </c>
      <c r="L5" s="13">
        <v>1</v>
      </c>
      <c r="M5" s="1">
        <f t="shared" si="0"/>
        <v>6</v>
      </c>
      <c r="N5" s="15">
        <f>M5/N1*100</f>
        <v>62.068965517241381</v>
      </c>
      <c r="O5" s="7">
        <v>19.5</v>
      </c>
      <c r="P5" s="7">
        <f>P4+TEXT(C5-C4,"h")</f>
        <v>18</v>
      </c>
    </row>
    <row r="6" spans="1:17" ht="15.75" customHeight="1" x14ac:dyDescent="0.2">
      <c r="A6" s="8">
        <v>45746</v>
      </c>
      <c r="B6" s="9">
        <v>0.61805555555555558</v>
      </c>
      <c r="C6" s="24">
        <f t="shared" si="1"/>
        <v>45746.618055555555</v>
      </c>
      <c r="D6" s="13">
        <v>4</v>
      </c>
      <c r="E6" s="13">
        <v>6</v>
      </c>
      <c r="F6" s="13">
        <v>1</v>
      </c>
      <c r="G6" s="13">
        <v>4</v>
      </c>
      <c r="H6" s="13">
        <v>1</v>
      </c>
      <c r="I6" s="13">
        <v>3</v>
      </c>
      <c r="J6" s="13">
        <v>4</v>
      </c>
      <c r="K6" s="13">
        <v>5</v>
      </c>
      <c r="L6" s="13">
        <v>1</v>
      </c>
      <c r="M6" s="1">
        <f t="shared" si="0"/>
        <v>4</v>
      </c>
      <c r="N6" s="15">
        <f>M6/N1*100</f>
        <v>41.379310344827594</v>
      </c>
      <c r="O6" s="7">
        <v>24.83</v>
      </c>
      <c r="P6" s="7">
        <f>P5+TEXT(B6-B5,"h")</f>
        <v>23</v>
      </c>
    </row>
    <row r="7" spans="1:17" ht="15.75" customHeight="1" x14ac:dyDescent="0.2">
      <c r="A7" s="8">
        <v>45746</v>
      </c>
      <c r="B7" s="9">
        <v>0.95694444444444449</v>
      </c>
      <c r="C7" s="24">
        <f t="shared" si="1"/>
        <v>45746.956944444442</v>
      </c>
      <c r="D7" s="13">
        <v>2</v>
      </c>
      <c r="E7" s="13">
        <v>8</v>
      </c>
      <c r="F7" s="13">
        <v>1</v>
      </c>
      <c r="G7" s="13">
        <v>3</v>
      </c>
      <c r="H7" s="13">
        <v>2</v>
      </c>
      <c r="I7" s="13">
        <v>3</v>
      </c>
      <c r="J7" s="13">
        <v>1</v>
      </c>
      <c r="K7" s="13">
        <v>8</v>
      </c>
      <c r="L7" s="13">
        <v>1</v>
      </c>
      <c r="M7" s="1">
        <f t="shared" si="0"/>
        <v>2</v>
      </c>
      <c r="N7" s="15">
        <f>M7/N1*100</f>
        <v>20.689655172413797</v>
      </c>
      <c r="O7" s="7">
        <v>32.83</v>
      </c>
      <c r="P7" s="7">
        <f>P6+TEXT(B7-B6,"h")</f>
        <v>31</v>
      </c>
    </row>
    <row r="8" spans="1:17" ht="15.75" customHeight="1" x14ac:dyDescent="0.2">
      <c r="A8" s="8">
        <v>45747</v>
      </c>
      <c r="B8" s="9">
        <v>0.375</v>
      </c>
      <c r="C8" s="24">
        <f t="shared" si="1"/>
        <v>45747.375</v>
      </c>
      <c r="D8" s="13">
        <v>0</v>
      </c>
      <c r="E8" s="13">
        <v>10</v>
      </c>
      <c r="F8" s="13">
        <v>1</v>
      </c>
      <c r="G8" s="13">
        <v>1</v>
      </c>
      <c r="H8" s="13">
        <v>4</v>
      </c>
      <c r="I8" s="13">
        <v>3</v>
      </c>
      <c r="J8" s="13">
        <v>0</v>
      </c>
      <c r="K8" s="13">
        <v>9</v>
      </c>
      <c r="L8" s="13">
        <v>1</v>
      </c>
      <c r="M8" s="1">
        <f t="shared" si="0"/>
        <v>0.33333333333333331</v>
      </c>
      <c r="N8" s="16">
        <f>M8/N1*100</f>
        <v>3.4482758620689653</v>
      </c>
      <c r="O8" s="7">
        <v>42.83</v>
      </c>
      <c r="P8" s="7">
        <f>P7+TEXT(C8-C7,"h")</f>
        <v>41</v>
      </c>
    </row>
    <row r="9" spans="1:17" ht="15.75" customHeight="1" x14ac:dyDescent="0.2">
      <c r="A9" s="8">
        <v>45747</v>
      </c>
      <c r="B9" s="9">
        <v>0.65833333333333333</v>
      </c>
      <c r="C9" s="24">
        <f t="shared" si="1"/>
        <v>45747.658333333333</v>
      </c>
      <c r="D9" s="13">
        <v>0</v>
      </c>
      <c r="E9" s="13">
        <v>11</v>
      </c>
      <c r="F9" s="13">
        <v>0</v>
      </c>
      <c r="G9" s="13">
        <v>0</v>
      </c>
      <c r="H9" s="13">
        <v>5</v>
      </c>
      <c r="I9" s="13">
        <v>3</v>
      </c>
      <c r="J9" s="13">
        <v>0</v>
      </c>
      <c r="K9" s="13">
        <v>9</v>
      </c>
      <c r="L9" s="13">
        <v>1</v>
      </c>
      <c r="M9" s="1">
        <f t="shared" si="0"/>
        <v>0</v>
      </c>
      <c r="N9" s="16">
        <f>M9/N1*100</f>
        <v>0</v>
      </c>
      <c r="O9" s="7">
        <v>49.58</v>
      </c>
      <c r="P9" s="7">
        <f>P8+TEXT(B9-B8,"h")</f>
        <v>47</v>
      </c>
    </row>
    <row r="10" spans="1:17" ht="15.75" customHeight="1" x14ac:dyDescent="0.2">
      <c r="A10" s="11">
        <v>45748</v>
      </c>
      <c r="B10" s="9">
        <v>6.2500000000000003E-3</v>
      </c>
      <c r="C10" s="24">
        <f t="shared" si="1"/>
        <v>45748.006249999999</v>
      </c>
      <c r="D10" s="13">
        <v>0</v>
      </c>
      <c r="E10" s="13">
        <v>11</v>
      </c>
      <c r="F10" s="13">
        <v>0</v>
      </c>
      <c r="G10" s="13">
        <v>0</v>
      </c>
      <c r="H10" s="13">
        <v>5</v>
      </c>
      <c r="I10" s="13">
        <v>3</v>
      </c>
      <c r="J10" s="13">
        <v>0</v>
      </c>
      <c r="K10" s="13">
        <v>9</v>
      </c>
      <c r="L10" s="13">
        <v>1</v>
      </c>
      <c r="M10" s="1">
        <f t="shared" si="0"/>
        <v>0</v>
      </c>
      <c r="N10" s="16">
        <f>M10/N1*100</f>
        <v>0</v>
      </c>
      <c r="O10" s="7">
        <v>57.91</v>
      </c>
      <c r="P10" s="7">
        <f>P9+TEXT(C10-C9,"h")</f>
        <v>55</v>
      </c>
    </row>
    <row r="11" spans="1:17" ht="15.75" customHeight="1" x14ac:dyDescent="0.2">
      <c r="A11" s="12"/>
      <c r="B11" s="12"/>
      <c r="C11" s="24"/>
      <c r="D11" s="13"/>
      <c r="E11" s="13"/>
      <c r="F11" s="13"/>
      <c r="G11" s="13"/>
      <c r="H11" s="13"/>
      <c r="I11" s="13" t="s">
        <v>15</v>
      </c>
      <c r="J11" s="13"/>
      <c r="K11" s="13"/>
      <c r="L11" s="13" t="s">
        <v>15</v>
      </c>
    </row>
    <row r="12" spans="1:17" ht="15.75" customHeight="1" x14ac:dyDescent="0.2">
      <c r="A12" s="12"/>
      <c r="B12" s="12"/>
      <c r="C12" s="24"/>
      <c r="D12" s="13"/>
      <c r="E12" s="13"/>
      <c r="F12" s="13"/>
      <c r="G12" s="13"/>
      <c r="H12" s="13"/>
      <c r="I12" s="13"/>
      <c r="J12" s="13"/>
      <c r="K12" s="13"/>
      <c r="L12" s="13"/>
      <c r="P12" s="21"/>
    </row>
    <row r="13" spans="1:17" ht="15.75" customHeight="1" x14ac:dyDescent="0.2">
      <c r="A13" s="12"/>
      <c r="B13" s="12"/>
      <c r="C13" s="24"/>
      <c r="D13" s="13"/>
      <c r="E13" s="13"/>
      <c r="F13" s="13"/>
      <c r="G13" s="13"/>
      <c r="H13" s="13"/>
      <c r="I13" s="13"/>
      <c r="J13" s="13"/>
      <c r="K13" s="13"/>
      <c r="L13" s="13"/>
      <c r="Q13" s="20"/>
    </row>
    <row r="14" spans="1:17" ht="15.75" customHeight="1" x14ac:dyDescent="0.2">
      <c r="A14" s="12"/>
      <c r="B14" s="12"/>
      <c r="C14" s="24"/>
      <c r="D14" s="13"/>
      <c r="E14" s="13"/>
      <c r="F14" s="13"/>
      <c r="G14" s="13"/>
      <c r="H14" s="13"/>
      <c r="I14" s="13"/>
      <c r="J14" s="13"/>
      <c r="K14" s="13"/>
      <c r="L14" s="13"/>
    </row>
    <row r="15" spans="1:17" ht="15.75" customHeight="1" x14ac:dyDescent="0.2">
      <c r="A15" s="12"/>
      <c r="B15" s="12"/>
      <c r="C15" s="24"/>
      <c r="D15" s="13"/>
      <c r="E15" s="13"/>
      <c r="F15" s="13"/>
      <c r="G15" s="13"/>
      <c r="H15" s="13"/>
      <c r="I15" s="13"/>
      <c r="J15" s="13"/>
      <c r="K15" s="13"/>
      <c r="L15" s="13"/>
    </row>
    <row r="16" spans="1:17" ht="15.75" customHeight="1" x14ac:dyDescent="0.2">
      <c r="A16" s="12"/>
      <c r="B16" s="12"/>
      <c r="C16" s="24"/>
      <c r="D16" s="13"/>
      <c r="E16" s="13"/>
      <c r="F16" s="13"/>
      <c r="G16" s="13"/>
      <c r="H16" s="13"/>
      <c r="I16" s="13"/>
      <c r="J16" s="13"/>
      <c r="K16" s="13"/>
      <c r="L16" s="13"/>
      <c r="P16" s="20"/>
    </row>
    <row r="17" spans="1:12" ht="15.75" customHeight="1" x14ac:dyDescent="0.2">
      <c r="A17" s="12"/>
      <c r="B17" s="12"/>
      <c r="C17" s="24"/>
      <c r="D17" s="13"/>
      <c r="E17" s="13"/>
      <c r="F17" s="13"/>
      <c r="G17" s="13"/>
      <c r="H17" s="13"/>
      <c r="I17" s="13"/>
      <c r="J17" s="13"/>
      <c r="K17" s="13"/>
      <c r="L17" s="13"/>
    </row>
    <row r="18" spans="1:12" ht="15.75" customHeight="1" x14ac:dyDescent="0.2">
      <c r="A18" s="12"/>
      <c r="B18" s="12"/>
      <c r="C18" s="24"/>
      <c r="D18" s="13"/>
      <c r="E18" s="13"/>
      <c r="F18" s="13"/>
      <c r="G18" s="13"/>
      <c r="H18" s="13"/>
      <c r="I18" s="13"/>
      <c r="J18" s="13"/>
      <c r="K18" s="13"/>
      <c r="L18" s="13"/>
    </row>
    <row r="19" spans="1:12" ht="15.75" customHeight="1" x14ac:dyDescent="0.2">
      <c r="A19" s="12"/>
      <c r="B19" s="12"/>
      <c r="C19" s="24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15.75" customHeight="1" x14ac:dyDescent="0.2">
      <c r="A20" s="12"/>
      <c r="B20" s="12"/>
      <c r="C20" s="24"/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15.75" customHeight="1" x14ac:dyDescent="0.2">
      <c r="A21" s="12"/>
      <c r="B21" s="12"/>
      <c r="C21" s="24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15.75" customHeight="1" x14ac:dyDescent="0.2">
      <c r="A22" s="12"/>
      <c r="B22" s="12"/>
      <c r="C22" s="24"/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15.75" customHeight="1" x14ac:dyDescent="0.2">
      <c r="A23" s="12"/>
      <c r="B23" s="12"/>
      <c r="C23" s="24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5.75" customHeight="1" x14ac:dyDescent="0.2">
      <c r="A24" s="12"/>
      <c r="B24" s="12"/>
      <c r="C24" s="24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15.75" customHeight="1" x14ac:dyDescent="0.2">
      <c r="A25" s="12"/>
      <c r="B25" s="12"/>
      <c r="C25" s="24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5.75" customHeight="1" x14ac:dyDescent="0.2">
      <c r="A26" s="12"/>
      <c r="B26" s="12"/>
      <c r="C26" s="24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5.75" customHeight="1" x14ac:dyDescent="0.2">
      <c r="A27" s="12"/>
      <c r="B27" s="12"/>
      <c r="C27" s="24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5.75" customHeight="1" x14ac:dyDescent="0.2">
      <c r="A28" s="12"/>
      <c r="B28" s="12"/>
      <c r="C28" s="24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5.75" customHeight="1" x14ac:dyDescent="0.2">
      <c r="A29" s="12"/>
      <c r="B29" s="12"/>
      <c r="C29" s="24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5.75" customHeight="1" x14ac:dyDescent="0.2">
      <c r="A30" s="12"/>
      <c r="B30" s="12"/>
      <c r="C30" s="24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5.75" customHeight="1" x14ac:dyDescent="0.2">
      <c r="A31" s="12"/>
      <c r="B31" s="12"/>
      <c r="C31" s="24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5.75" customHeight="1" x14ac:dyDescent="0.2">
      <c r="A32" s="12"/>
      <c r="B32" s="12"/>
      <c r="C32" s="24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5.75" customHeight="1" x14ac:dyDescent="0.2">
      <c r="A33" s="12"/>
      <c r="B33" s="12"/>
      <c r="C33" s="24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5.75" customHeight="1" x14ac:dyDescent="0.2">
      <c r="A34" s="12"/>
      <c r="B34" s="12"/>
      <c r="C34" s="24"/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15.75" customHeight="1" x14ac:dyDescent="0.2">
      <c r="A35" s="12"/>
      <c r="B35" s="12"/>
      <c r="C35" s="24"/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15.75" customHeight="1" x14ac:dyDescent="0.2">
      <c r="A36" s="12"/>
      <c r="B36" s="12"/>
      <c r="C36" s="24"/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5.75" customHeight="1" x14ac:dyDescent="0.2">
      <c r="A37" s="12"/>
      <c r="B37" s="12"/>
      <c r="C37" s="24"/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5.75" customHeight="1" x14ac:dyDescent="0.2">
      <c r="A38" s="12"/>
      <c r="B38" s="12"/>
      <c r="C38" s="24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5.75" customHeight="1" x14ac:dyDescent="0.2">
      <c r="A39" s="12"/>
      <c r="B39" s="12"/>
      <c r="C39" s="24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5.75" customHeight="1" x14ac:dyDescent="0.2">
      <c r="A40" s="12"/>
      <c r="B40" s="12"/>
      <c r="C40" s="24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5.75" customHeight="1" x14ac:dyDescent="0.2">
      <c r="A41" s="12"/>
      <c r="B41" s="12"/>
      <c r="C41" s="24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5.75" customHeight="1" x14ac:dyDescent="0.2">
      <c r="A42" s="12"/>
      <c r="B42" s="12"/>
      <c r="C42" s="24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5.75" customHeight="1" x14ac:dyDescent="0.2">
      <c r="A43" s="12"/>
      <c r="B43" s="12"/>
      <c r="C43" s="24"/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5.75" customHeight="1" x14ac:dyDescent="0.2">
      <c r="A44" s="12"/>
      <c r="B44" s="12"/>
      <c r="C44" s="24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5.75" customHeight="1" x14ac:dyDescent="0.2">
      <c r="A45" s="12"/>
      <c r="B45" s="12"/>
      <c r="C45" s="24"/>
      <c r="D45" s="13"/>
      <c r="E45" s="13"/>
      <c r="F45" s="13"/>
      <c r="G45" s="13"/>
      <c r="H45" s="13"/>
      <c r="I45" s="13"/>
      <c r="J45" s="13"/>
      <c r="K45" s="13"/>
      <c r="L45" s="13"/>
    </row>
    <row r="46" spans="1:12" ht="15.75" customHeight="1" x14ac:dyDescent="0.2">
      <c r="A46" s="12"/>
      <c r="B46" s="12"/>
      <c r="C46" s="24"/>
      <c r="D46" s="13"/>
      <c r="E46" s="13"/>
      <c r="F46" s="13"/>
      <c r="G46" s="13"/>
      <c r="H46" s="13"/>
      <c r="I46" s="13"/>
      <c r="J46" s="13"/>
      <c r="K46" s="13"/>
      <c r="L46" s="13"/>
    </row>
    <row r="47" spans="1:12" ht="15.75" customHeight="1" x14ac:dyDescent="0.2">
      <c r="A47" s="12"/>
      <c r="B47" s="12"/>
      <c r="C47" s="24"/>
      <c r="D47" s="13"/>
      <c r="E47" s="13"/>
      <c r="F47" s="13"/>
      <c r="G47" s="13"/>
      <c r="H47" s="13"/>
      <c r="I47" s="13"/>
      <c r="J47" s="13"/>
      <c r="K47" s="13"/>
      <c r="L47" s="13"/>
    </row>
    <row r="48" spans="1:12" ht="15.75" customHeight="1" x14ac:dyDescent="0.2">
      <c r="A48" s="12"/>
      <c r="B48" s="12"/>
      <c r="C48" s="24"/>
      <c r="D48" s="13"/>
      <c r="E48" s="13"/>
      <c r="F48" s="13"/>
      <c r="G48" s="13"/>
      <c r="H48" s="13"/>
      <c r="I48" s="13"/>
      <c r="J48" s="13"/>
      <c r="K48" s="13"/>
      <c r="L48" s="13"/>
    </row>
    <row r="49" spans="1:12" ht="15.75" customHeight="1" x14ac:dyDescent="0.2">
      <c r="A49" s="12"/>
      <c r="B49" s="12"/>
      <c r="C49" s="24"/>
      <c r="D49" s="13"/>
      <c r="E49" s="13"/>
      <c r="F49" s="13"/>
      <c r="G49" s="13"/>
      <c r="H49" s="13"/>
      <c r="I49" s="13"/>
      <c r="J49" s="13"/>
      <c r="K49" s="13"/>
      <c r="L49" s="13"/>
    </row>
    <row r="50" spans="1:12" ht="15.75" customHeight="1" x14ac:dyDescent="0.2">
      <c r="A50" s="12"/>
      <c r="B50" s="12"/>
      <c r="C50" s="24"/>
      <c r="D50" s="13"/>
      <c r="E50" s="13"/>
      <c r="F50" s="13"/>
      <c r="G50" s="13"/>
      <c r="H50" s="13"/>
      <c r="I50" s="13"/>
      <c r="J50" s="13"/>
      <c r="K50" s="13"/>
      <c r="L50" s="13"/>
    </row>
    <row r="51" spans="1:12" ht="15.75" customHeight="1" x14ac:dyDescent="0.2">
      <c r="A51" s="3"/>
      <c r="B51" s="12"/>
      <c r="C51" s="24"/>
      <c r="D51" s="13"/>
      <c r="E51" s="13"/>
      <c r="F51" s="13"/>
      <c r="G51" s="13"/>
      <c r="H51" s="13"/>
      <c r="I51" s="13"/>
      <c r="J51" s="13"/>
      <c r="K51" s="13"/>
      <c r="L51" s="13"/>
    </row>
    <row r="52" spans="1:12" ht="15.75" customHeight="1" x14ac:dyDescent="0.2">
      <c r="A52" s="12"/>
      <c r="B52" s="12"/>
      <c r="C52" s="24"/>
      <c r="D52" s="13"/>
      <c r="E52" s="13"/>
      <c r="F52" s="13"/>
      <c r="G52" s="13"/>
      <c r="H52" s="13"/>
      <c r="I52" s="13"/>
      <c r="J52" s="13"/>
      <c r="K52" s="13"/>
      <c r="L52" s="13"/>
    </row>
    <row r="53" spans="1:12" ht="15.75" customHeight="1" x14ac:dyDescent="0.2">
      <c r="A53" s="12"/>
      <c r="B53" s="12"/>
      <c r="C53" s="24"/>
      <c r="D53" s="13"/>
      <c r="E53" s="13"/>
      <c r="F53" s="13"/>
      <c r="G53" s="13"/>
      <c r="H53" s="13"/>
      <c r="I53" s="13"/>
      <c r="J53" s="13"/>
      <c r="K53" s="13"/>
      <c r="L53" s="13"/>
    </row>
    <row r="54" spans="1:12" ht="15.75" customHeight="1" x14ac:dyDescent="0.2">
      <c r="A54" s="12"/>
      <c r="B54" s="12"/>
      <c r="C54" s="24"/>
      <c r="D54" s="13"/>
      <c r="E54" s="13"/>
      <c r="F54" s="13"/>
      <c r="G54" s="13"/>
      <c r="H54" s="13"/>
      <c r="I54" s="13"/>
      <c r="J54" s="13"/>
      <c r="K54" s="13"/>
      <c r="L54" s="13"/>
    </row>
    <row r="55" spans="1:12" ht="15.75" customHeight="1" x14ac:dyDescent="0.2">
      <c r="A55" s="12"/>
      <c r="B55" s="12"/>
      <c r="C55" s="24"/>
      <c r="D55" s="13"/>
      <c r="E55" s="13"/>
      <c r="F55" s="13"/>
      <c r="G55" s="13"/>
      <c r="H55" s="13"/>
      <c r="I55" s="13"/>
      <c r="J55" s="13"/>
      <c r="K55" s="13"/>
      <c r="L55" s="13"/>
    </row>
    <row r="56" spans="1:12" ht="15.75" customHeight="1" x14ac:dyDescent="0.2">
      <c r="A56" s="12"/>
      <c r="B56" s="12"/>
      <c r="C56" s="24"/>
      <c r="D56" s="13"/>
      <c r="E56" s="13"/>
      <c r="F56" s="13"/>
      <c r="G56" s="13"/>
      <c r="H56" s="13"/>
      <c r="I56" s="13"/>
      <c r="J56" s="13"/>
      <c r="K56" s="13"/>
      <c r="L56" s="13"/>
    </row>
    <row r="57" spans="1:12" ht="15.75" customHeight="1" x14ac:dyDescent="0.2">
      <c r="A57" s="12"/>
      <c r="B57" s="12"/>
      <c r="C57" s="24"/>
      <c r="D57" s="13"/>
      <c r="E57" s="13"/>
      <c r="F57" s="13"/>
      <c r="G57" s="13"/>
      <c r="H57" s="13"/>
      <c r="I57" s="13"/>
      <c r="J57" s="13"/>
      <c r="K57" s="13"/>
      <c r="L57" s="13"/>
    </row>
    <row r="58" spans="1:12" ht="15.75" customHeight="1" x14ac:dyDescent="0.2">
      <c r="A58" s="12"/>
      <c r="B58" s="12"/>
      <c r="C58" s="24"/>
      <c r="D58" s="13"/>
      <c r="E58" s="13"/>
      <c r="F58" s="13"/>
      <c r="G58" s="13"/>
      <c r="H58" s="13"/>
      <c r="I58" s="13"/>
      <c r="J58" s="13"/>
      <c r="K58" s="13"/>
      <c r="L58" s="13"/>
    </row>
    <row r="59" spans="1:12" ht="15.75" customHeight="1" x14ac:dyDescent="0.2">
      <c r="A59" s="12"/>
      <c r="B59" s="12"/>
      <c r="C59" s="24"/>
      <c r="D59" s="13"/>
      <c r="E59" s="13"/>
      <c r="F59" s="13"/>
      <c r="G59" s="13"/>
      <c r="H59" s="13"/>
      <c r="I59" s="13"/>
      <c r="J59" s="13"/>
      <c r="K59" s="13"/>
      <c r="L59" s="13"/>
    </row>
    <row r="60" spans="1:12" ht="15.75" customHeight="1" x14ac:dyDescent="0.2">
      <c r="A60" s="12"/>
      <c r="B60" s="12"/>
      <c r="C60" s="24"/>
      <c r="D60" s="13"/>
      <c r="E60" s="13"/>
      <c r="F60" s="13"/>
      <c r="G60" s="13"/>
      <c r="H60" s="13"/>
      <c r="I60" s="13"/>
      <c r="J60" s="13"/>
      <c r="K60" s="13"/>
      <c r="L60" s="13"/>
    </row>
    <row r="61" spans="1:12" ht="15.75" customHeight="1" x14ac:dyDescent="0.2">
      <c r="A61" s="12"/>
      <c r="B61" s="12"/>
      <c r="C61" s="24"/>
      <c r="D61" s="13"/>
      <c r="E61" s="13"/>
      <c r="F61" s="13"/>
      <c r="G61" s="13"/>
      <c r="H61" s="13"/>
      <c r="I61" s="13"/>
      <c r="J61" s="13"/>
      <c r="K61" s="13"/>
      <c r="L61" s="13"/>
    </row>
    <row r="62" spans="1:12" ht="15.75" customHeight="1" x14ac:dyDescent="0.2">
      <c r="A62" s="12"/>
      <c r="B62" s="12"/>
      <c r="C62" s="24"/>
      <c r="D62" s="13"/>
      <c r="E62" s="13"/>
      <c r="F62" s="13"/>
      <c r="G62" s="13"/>
      <c r="H62" s="13"/>
      <c r="I62" s="13"/>
      <c r="J62" s="13"/>
      <c r="K62" s="13"/>
      <c r="L62" s="13"/>
    </row>
    <row r="63" spans="1:12" ht="15.75" customHeight="1" x14ac:dyDescent="0.2">
      <c r="A63" s="12"/>
      <c r="B63" s="12"/>
      <c r="C63" s="24"/>
      <c r="D63" s="13"/>
      <c r="E63" s="13"/>
      <c r="F63" s="13"/>
      <c r="G63" s="13"/>
      <c r="H63" s="13"/>
      <c r="I63" s="13"/>
      <c r="J63" s="13"/>
      <c r="K63" s="13"/>
      <c r="L63" s="13"/>
    </row>
    <row r="64" spans="1:12" ht="15.75" customHeight="1" x14ac:dyDescent="0.2">
      <c r="A64" s="12"/>
      <c r="B64" s="12"/>
      <c r="C64" s="24"/>
      <c r="D64" s="13"/>
      <c r="E64" s="13"/>
      <c r="F64" s="13"/>
      <c r="G64" s="13"/>
      <c r="H64" s="13"/>
      <c r="I64" s="13"/>
      <c r="J64" s="13"/>
      <c r="K64" s="13"/>
      <c r="L64" s="13"/>
    </row>
    <row r="65" spans="1:12" ht="15.75" customHeight="1" x14ac:dyDescent="0.2">
      <c r="A65" s="12"/>
      <c r="B65" s="12"/>
      <c r="C65" s="24"/>
      <c r="D65" s="13"/>
      <c r="E65" s="13"/>
      <c r="F65" s="13"/>
      <c r="G65" s="13"/>
      <c r="H65" s="13"/>
      <c r="I65" s="13"/>
      <c r="J65" s="13"/>
      <c r="K65" s="13"/>
      <c r="L65" s="13"/>
    </row>
    <row r="66" spans="1:12" ht="15.75" customHeight="1" x14ac:dyDescent="0.2">
      <c r="A66" s="12"/>
      <c r="B66" s="12"/>
      <c r="C66" s="24"/>
      <c r="D66" s="13"/>
      <c r="E66" s="13"/>
      <c r="F66" s="13"/>
      <c r="G66" s="13"/>
      <c r="H66" s="13"/>
      <c r="I66" s="13"/>
      <c r="J66" s="13"/>
      <c r="K66" s="13"/>
      <c r="L66" s="13"/>
    </row>
    <row r="67" spans="1:12" ht="15.75" customHeight="1" x14ac:dyDescent="0.2">
      <c r="A67" s="12"/>
      <c r="B67" s="12"/>
      <c r="C67" s="24"/>
      <c r="D67" s="13"/>
      <c r="E67" s="13"/>
      <c r="F67" s="13"/>
      <c r="G67" s="13"/>
      <c r="H67" s="13"/>
      <c r="I67" s="13"/>
      <c r="J67" s="13"/>
      <c r="K67" s="13"/>
      <c r="L67" s="13"/>
    </row>
    <row r="68" spans="1:12" ht="15.75" customHeight="1" x14ac:dyDescent="0.2">
      <c r="A68" s="12"/>
      <c r="B68" s="12"/>
      <c r="C68" s="24"/>
      <c r="D68" s="13"/>
      <c r="E68" s="13"/>
      <c r="F68" s="13"/>
      <c r="G68" s="13"/>
      <c r="H68" s="13"/>
      <c r="I68" s="13"/>
      <c r="J68" s="13"/>
      <c r="K68" s="13"/>
      <c r="L68" s="13"/>
    </row>
    <row r="69" spans="1:12" ht="15.75" customHeight="1" x14ac:dyDescent="0.2">
      <c r="A69" s="12"/>
      <c r="B69" s="12"/>
      <c r="C69" s="24"/>
      <c r="D69" s="13"/>
      <c r="E69" s="13"/>
      <c r="F69" s="13"/>
      <c r="G69" s="13"/>
      <c r="H69" s="13"/>
      <c r="I69" s="13"/>
      <c r="J69" s="13"/>
      <c r="K69" s="13"/>
      <c r="L69" s="13"/>
    </row>
    <row r="70" spans="1:12" ht="15.75" customHeight="1" x14ac:dyDescent="0.2">
      <c r="A70" s="12"/>
      <c r="B70" s="12"/>
      <c r="C70" s="24"/>
      <c r="D70" s="13"/>
      <c r="E70" s="13"/>
      <c r="F70" s="13"/>
      <c r="G70" s="13"/>
      <c r="H70" s="13"/>
      <c r="I70" s="13"/>
      <c r="J70" s="13"/>
      <c r="K70" s="13"/>
      <c r="L70" s="13"/>
    </row>
    <row r="71" spans="1:12" ht="15.75" customHeight="1" x14ac:dyDescent="0.2">
      <c r="A71" s="12"/>
      <c r="B71" s="12"/>
      <c r="C71" s="24"/>
      <c r="D71" s="13"/>
      <c r="E71" s="13"/>
      <c r="F71" s="13"/>
      <c r="G71" s="13"/>
      <c r="H71" s="13"/>
      <c r="I71" s="13"/>
      <c r="J71" s="13"/>
      <c r="K71" s="13"/>
      <c r="L71" s="13"/>
    </row>
    <row r="72" spans="1:12" ht="15.75" customHeight="1" x14ac:dyDescent="0.2">
      <c r="A72" s="12"/>
      <c r="B72" s="12"/>
      <c r="C72" s="24"/>
      <c r="D72" s="13"/>
      <c r="E72" s="13"/>
      <c r="F72" s="13"/>
      <c r="G72" s="13"/>
      <c r="H72" s="13"/>
      <c r="I72" s="13"/>
      <c r="J72" s="13"/>
      <c r="K72" s="13"/>
      <c r="L72" s="13"/>
    </row>
    <row r="73" spans="1:12" ht="15.75" customHeight="1" x14ac:dyDescent="0.2">
      <c r="A73" s="12"/>
      <c r="B73" s="12"/>
      <c r="C73" s="24"/>
      <c r="D73" s="13"/>
      <c r="E73" s="13"/>
      <c r="F73" s="13"/>
      <c r="G73" s="13"/>
      <c r="H73" s="13"/>
      <c r="I73" s="13"/>
      <c r="J73" s="13"/>
      <c r="K73" s="13"/>
      <c r="L73" s="13"/>
    </row>
    <row r="74" spans="1:12" ht="15.75" customHeight="1" x14ac:dyDescent="0.2">
      <c r="A74" s="12"/>
      <c r="B74" s="12"/>
      <c r="C74" s="24"/>
      <c r="D74" s="13"/>
      <c r="E74" s="13"/>
      <c r="F74" s="13"/>
      <c r="G74" s="13"/>
      <c r="H74" s="13"/>
      <c r="I74" s="13"/>
      <c r="J74" s="13"/>
      <c r="K74" s="13"/>
      <c r="L74" s="13"/>
    </row>
    <row r="75" spans="1:12" ht="15.75" customHeight="1" x14ac:dyDescent="0.2">
      <c r="A75" s="12"/>
      <c r="B75" s="12"/>
      <c r="C75" s="24"/>
      <c r="D75" s="13"/>
      <c r="E75" s="13"/>
      <c r="F75" s="13"/>
      <c r="G75" s="13"/>
      <c r="H75" s="13"/>
      <c r="I75" s="13"/>
      <c r="J75" s="13"/>
      <c r="K75" s="13"/>
      <c r="L75" s="13"/>
    </row>
    <row r="76" spans="1:12" ht="15.75" customHeight="1" x14ac:dyDescent="0.2">
      <c r="A76" s="12"/>
      <c r="B76" s="12"/>
      <c r="C76" s="24"/>
      <c r="D76" s="13"/>
      <c r="E76" s="13"/>
      <c r="F76" s="13"/>
      <c r="G76" s="13"/>
      <c r="H76" s="13"/>
      <c r="I76" s="13"/>
      <c r="J76" s="13"/>
      <c r="K76" s="13"/>
      <c r="L76" s="13"/>
    </row>
    <row r="77" spans="1:12" ht="15.75" customHeight="1" x14ac:dyDescent="0.2">
      <c r="A77" s="12"/>
      <c r="B77" s="12"/>
      <c r="C77" s="24"/>
      <c r="D77" s="13"/>
      <c r="E77" s="13"/>
      <c r="F77" s="13"/>
      <c r="G77" s="13"/>
      <c r="H77" s="13"/>
      <c r="I77" s="13"/>
      <c r="J77" s="13"/>
      <c r="K77" s="13"/>
      <c r="L77" s="13"/>
    </row>
    <row r="78" spans="1:12" ht="15.75" customHeight="1" x14ac:dyDescent="0.2">
      <c r="A78" s="12"/>
      <c r="B78" s="12"/>
      <c r="C78" s="24"/>
      <c r="D78" s="13"/>
      <c r="E78" s="13"/>
      <c r="F78" s="13"/>
      <c r="G78" s="13"/>
      <c r="H78" s="13"/>
      <c r="I78" s="13"/>
      <c r="J78" s="13"/>
      <c r="K78" s="13"/>
      <c r="L78" s="13"/>
    </row>
    <row r="79" spans="1:12" ht="15.75" customHeight="1" x14ac:dyDescent="0.2">
      <c r="A79" s="12"/>
      <c r="B79" s="12"/>
      <c r="C79" s="24"/>
      <c r="D79" s="13"/>
      <c r="E79" s="13"/>
      <c r="F79" s="13"/>
      <c r="G79" s="13"/>
      <c r="H79" s="13"/>
      <c r="I79" s="13"/>
      <c r="J79" s="13"/>
      <c r="K79" s="13"/>
      <c r="L79" s="13"/>
    </row>
    <row r="80" spans="1:12" ht="15.75" customHeight="1" x14ac:dyDescent="0.2">
      <c r="A80" s="12"/>
      <c r="B80" s="12"/>
      <c r="C80" s="24"/>
      <c r="D80" s="13"/>
      <c r="E80" s="13"/>
      <c r="F80" s="13"/>
      <c r="G80" s="13"/>
      <c r="H80" s="13"/>
      <c r="I80" s="13"/>
      <c r="J80" s="13"/>
      <c r="K80" s="13"/>
      <c r="L80" s="13"/>
    </row>
    <row r="81" spans="1:12" ht="15.75" customHeight="1" x14ac:dyDescent="0.2">
      <c r="A81" s="12"/>
      <c r="B81" s="12"/>
      <c r="C81" s="24"/>
      <c r="D81" s="13"/>
      <c r="E81" s="13"/>
      <c r="F81" s="13"/>
      <c r="G81" s="13"/>
      <c r="H81" s="13"/>
      <c r="I81" s="13"/>
      <c r="J81" s="13"/>
      <c r="K81" s="13"/>
      <c r="L81" s="13"/>
    </row>
    <row r="82" spans="1:12" ht="15.75" customHeight="1" x14ac:dyDescent="0.2">
      <c r="A82" s="12"/>
      <c r="B82" s="12"/>
      <c r="C82" s="24"/>
      <c r="D82" s="13"/>
      <c r="E82" s="13"/>
      <c r="F82" s="13"/>
      <c r="G82" s="13"/>
      <c r="H82" s="13"/>
      <c r="I82" s="13"/>
      <c r="J82" s="13"/>
      <c r="K82" s="13"/>
      <c r="L82" s="13"/>
    </row>
    <row r="83" spans="1:12" ht="15.75" customHeight="1" x14ac:dyDescent="0.2">
      <c r="A83" s="12"/>
      <c r="B83" s="12"/>
      <c r="C83" s="24"/>
      <c r="D83" s="13"/>
      <c r="E83" s="13"/>
      <c r="F83" s="13"/>
      <c r="G83" s="13"/>
      <c r="H83" s="13"/>
      <c r="I83" s="13"/>
      <c r="J83" s="13"/>
      <c r="K83" s="13"/>
      <c r="L83" s="13"/>
    </row>
    <row r="84" spans="1:12" ht="15.75" customHeight="1" x14ac:dyDescent="0.2">
      <c r="A84" s="12"/>
      <c r="B84" s="12"/>
      <c r="C84" s="24"/>
      <c r="D84" s="13"/>
      <c r="E84" s="13"/>
      <c r="F84" s="13"/>
      <c r="G84" s="13"/>
      <c r="H84" s="13"/>
      <c r="I84" s="13"/>
      <c r="J84" s="13"/>
      <c r="K84" s="13"/>
      <c r="L84" s="13"/>
    </row>
    <row r="85" spans="1:12" ht="15.75" customHeight="1" x14ac:dyDescent="0.2">
      <c r="A85" s="12"/>
      <c r="B85" s="12"/>
      <c r="C85" s="24"/>
      <c r="D85" s="13"/>
      <c r="E85" s="13"/>
      <c r="F85" s="13"/>
      <c r="G85" s="13"/>
      <c r="H85" s="13"/>
      <c r="I85" s="13"/>
      <c r="J85" s="13"/>
      <c r="K85" s="13"/>
      <c r="L85" s="13"/>
    </row>
    <row r="86" spans="1:12" ht="15.75" customHeight="1" x14ac:dyDescent="0.2">
      <c r="A86" s="12"/>
      <c r="B86" s="12"/>
      <c r="C86" s="24"/>
      <c r="D86" s="13"/>
      <c r="E86" s="13"/>
      <c r="F86" s="13"/>
      <c r="G86" s="13"/>
      <c r="H86" s="13"/>
      <c r="I86" s="13"/>
      <c r="J86" s="13"/>
      <c r="K86" s="13"/>
      <c r="L86" s="13"/>
    </row>
    <row r="87" spans="1:12" ht="15.75" customHeight="1" x14ac:dyDescent="0.2">
      <c r="A87" s="12"/>
      <c r="B87" s="12"/>
      <c r="C87" s="24"/>
      <c r="D87" s="13"/>
      <c r="E87" s="13"/>
      <c r="F87" s="13"/>
      <c r="G87" s="13"/>
      <c r="H87" s="13"/>
      <c r="I87" s="13"/>
      <c r="J87" s="13"/>
      <c r="K87" s="13"/>
      <c r="L87" s="13"/>
    </row>
    <row r="88" spans="1:12" ht="15.75" customHeight="1" x14ac:dyDescent="0.2">
      <c r="A88" s="12"/>
      <c r="B88" s="12"/>
      <c r="C88" s="24"/>
      <c r="D88" s="13"/>
      <c r="E88" s="13"/>
      <c r="F88" s="13"/>
      <c r="G88" s="13"/>
      <c r="H88" s="13"/>
      <c r="I88" s="13"/>
      <c r="J88" s="13"/>
      <c r="K88" s="13"/>
      <c r="L88" s="13"/>
    </row>
    <row r="89" spans="1:12" ht="15.75" customHeight="1" x14ac:dyDescent="0.2">
      <c r="A89" s="12"/>
      <c r="B89" s="12"/>
      <c r="C89" s="24"/>
      <c r="D89" s="13"/>
      <c r="E89" s="13"/>
      <c r="F89" s="13"/>
      <c r="G89" s="13"/>
      <c r="H89" s="13"/>
      <c r="I89" s="13"/>
      <c r="J89" s="13"/>
      <c r="K89" s="13"/>
      <c r="L89" s="13"/>
    </row>
    <row r="90" spans="1:12" ht="15.75" customHeight="1" x14ac:dyDescent="0.2">
      <c r="A90" s="12"/>
      <c r="B90" s="12"/>
      <c r="C90" s="24"/>
      <c r="D90" s="13"/>
      <c r="E90" s="13"/>
      <c r="F90" s="13"/>
      <c r="G90" s="13"/>
      <c r="H90" s="13"/>
      <c r="I90" s="13"/>
      <c r="J90" s="13"/>
      <c r="K90" s="13"/>
      <c r="L90" s="13"/>
    </row>
    <row r="91" spans="1:12" ht="15.75" customHeight="1" x14ac:dyDescent="0.2">
      <c r="A91" s="12"/>
      <c r="B91" s="12"/>
      <c r="C91" s="24"/>
      <c r="D91" s="13"/>
      <c r="E91" s="13"/>
      <c r="F91" s="13"/>
      <c r="G91" s="13"/>
      <c r="H91" s="13"/>
      <c r="I91" s="13"/>
      <c r="J91" s="13"/>
      <c r="K91" s="13"/>
      <c r="L91" s="13"/>
    </row>
    <row r="92" spans="1:12" ht="15.75" customHeight="1" x14ac:dyDescent="0.2">
      <c r="A92" s="12"/>
      <c r="B92" s="12"/>
      <c r="C92" s="24"/>
      <c r="D92" s="13"/>
      <c r="E92" s="13"/>
      <c r="F92" s="13"/>
      <c r="G92" s="13"/>
      <c r="H92" s="13"/>
      <c r="I92" s="13"/>
      <c r="J92" s="13"/>
      <c r="K92" s="13"/>
      <c r="L92" s="13"/>
    </row>
    <row r="93" spans="1:12" ht="15.75" customHeight="1" x14ac:dyDescent="0.2">
      <c r="A93" s="12"/>
      <c r="B93" s="12"/>
      <c r="C93" s="24"/>
      <c r="D93" s="13"/>
      <c r="E93" s="13"/>
      <c r="F93" s="13"/>
      <c r="G93" s="13"/>
      <c r="H93" s="13"/>
      <c r="I93" s="13"/>
      <c r="J93" s="13"/>
      <c r="K93" s="13"/>
      <c r="L93" s="13"/>
    </row>
    <row r="94" spans="1:12" ht="15.75" customHeight="1" x14ac:dyDescent="0.2">
      <c r="A94" s="12"/>
      <c r="B94" s="12"/>
      <c r="C94" s="24"/>
      <c r="D94" s="13"/>
      <c r="E94" s="13"/>
      <c r="F94" s="13"/>
      <c r="G94" s="13"/>
      <c r="H94" s="13"/>
      <c r="I94" s="13"/>
      <c r="J94" s="13"/>
      <c r="K94" s="13"/>
      <c r="L94" s="13"/>
    </row>
    <row r="95" spans="1:12" ht="15.75" customHeight="1" x14ac:dyDescent="0.2">
      <c r="A95" s="12"/>
      <c r="B95" s="12"/>
      <c r="C95" s="24"/>
      <c r="D95" s="13"/>
      <c r="E95" s="13"/>
      <c r="F95" s="13"/>
      <c r="G95" s="13"/>
      <c r="H95" s="13"/>
      <c r="I95" s="13"/>
      <c r="J95" s="13"/>
      <c r="K95" s="13"/>
      <c r="L95" s="13"/>
    </row>
    <row r="96" spans="1:12" ht="15.75" customHeight="1" x14ac:dyDescent="0.2">
      <c r="A96" s="12"/>
      <c r="B96" s="12"/>
      <c r="C96" s="24"/>
      <c r="D96" s="13"/>
      <c r="E96" s="13"/>
      <c r="F96" s="13"/>
      <c r="G96" s="13"/>
      <c r="H96" s="13"/>
      <c r="I96" s="13"/>
      <c r="J96" s="13"/>
      <c r="K96" s="13"/>
      <c r="L96" s="13"/>
    </row>
    <row r="97" spans="1:12" ht="15.75" customHeight="1" x14ac:dyDescent="0.2">
      <c r="A97" s="12"/>
      <c r="B97" s="12"/>
      <c r="C97" s="24"/>
      <c r="D97" s="13"/>
      <c r="E97" s="13"/>
      <c r="F97" s="13"/>
      <c r="G97" s="13"/>
      <c r="H97" s="13"/>
      <c r="I97" s="13"/>
      <c r="J97" s="13"/>
      <c r="K97" s="13"/>
      <c r="L97" s="13"/>
    </row>
    <row r="98" spans="1:12" ht="15.75" customHeight="1" x14ac:dyDescent="0.2">
      <c r="A98" s="12"/>
      <c r="B98" s="12"/>
      <c r="C98" s="24"/>
      <c r="D98" s="13"/>
      <c r="E98" s="13"/>
      <c r="F98" s="13"/>
      <c r="G98" s="13"/>
      <c r="H98" s="13"/>
      <c r="I98" s="13"/>
      <c r="J98" s="13"/>
      <c r="K98" s="13"/>
      <c r="L98" s="13"/>
    </row>
    <row r="99" spans="1:12" ht="15.75" customHeight="1" x14ac:dyDescent="0.2">
      <c r="A99" s="12"/>
      <c r="B99" s="12"/>
      <c r="C99" s="24"/>
      <c r="D99" s="13"/>
      <c r="E99" s="13"/>
      <c r="F99" s="13"/>
      <c r="G99" s="13"/>
      <c r="H99" s="13"/>
      <c r="I99" s="13"/>
      <c r="J99" s="13"/>
      <c r="K99" s="13"/>
      <c r="L99" s="13"/>
    </row>
    <row r="100" spans="1:12" ht="15.75" customHeight="1" x14ac:dyDescent="0.2">
      <c r="A100" s="3"/>
      <c r="B100" s="12"/>
      <c r="C100" s="24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 ht="15.75" customHeight="1" x14ac:dyDescent="0.2">
      <c r="A101" s="12"/>
      <c r="B101" s="12"/>
      <c r="C101" s="24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 ht="15.75" customHeight="1" x14ac:dyDescent="0.2">
      <c r="A102" s="12"/>
      <c r="B102" s="12"/>
      <c r="C102" s="24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1:12" ht="15.75" customHeight="1" x14ac:dyDescent="0.2">
      <c r="A103" s="12"/>
      <c r="B103" s="12"/>
      <c r="C103" s="24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1:12" ht="15.75" customHeight="1" x14ac:dyDescent="0.2">
      <c r="A104" s="12"/>
      <c r="B104" s="12"/>
      <c r="C104" s="24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2" ht="15.75" customHeight="1" x14ac:dyDescent="0.2">
      <c r="A105" s="12"/>
      <c r="B105" s="12"/>
      <c r="C105" s="24"/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1:12" ht="15.75" customHeight="1" x14ac:dyDescent="0.2">
      <c r="A106" s="12"/>
      <c r="B106" s="12"/>
      <c r="C106" s="24"/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1:12" ht="15.75" customHeight="1" x14ac:dyDescent="0.2">
      <c r="A107" s="12"/>
      <c r="B107" s="12"/>
      <c r="C107" s="24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1:12" ht="15.75" customHeight="1" x14ac:dyDescent="0.2">
      <c r="A108" s="12"/>
      <c r="B108" s="12"/>
      <c r="C108" s="24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2" ht="15.75" customHeight="1" x14ac:dyDescent="0.2">
      <c r="A109" s="12"/>
      <c r="B109" s="12"/>
      <c r="C109" s="24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2" ht="15.75" customHeight="1" x14ac:dyDescent="0.2">
      <c r="A110" s="12"/>
      <c r="B110" s="12"/>
      <c r="C110" s="24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2" ht="15.75" customHeight="1" x14ac:dyDescent="0.2">
      <c r="A111" s="12"/>
      <c r="B111" s="12"/>
      <c r="C111" s="24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2" ht="15.75" customHeight="1" x14ac:dyDescent="0.2">
      <c r="A112" s="12"/>
      <c r="B112" s="12"/>
      <c r="C112" s="24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ht="15.75" customHeight="1" x14ac:dyDescent="0.2">
      <c r="A113" s="12"/>
      <c r="B113" s="12"/>
      <c r="C113" s="24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ht="15.75" customHeight="1" x14ac:dyDescent="0.2">
      <c r="A114" s="12"/>
      <c r="B114" s="12"/>
      <c r="C114" s="24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ht="15.75" customHeight="1" x14ac:dyDescent="0.2">
      <c r="A115" s="12"/>
      <c r="B115" s="12"/>
      <c r="C115" s="24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ht="15.75" customHeight="1" x14ac:dyDescent="0.2">
      <c r="A116" s="12"/>
      <c r="B116" s="12"/>
      <c r="C116" s="24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ht="15.75" customHeight="1" x14ac:dyDescent="0.2">
      <c r="A117" s="12"/>
      <c r="B117" s="12"/>
      <c r="C117" s="24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ht="15.75" customHeight="1" x14ac:dyDescent="0.2">
      <c r="A118" s="12"/>
      <c r="B118" s="12"/>
      <c r="C118" s="24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ht="15.75" customHeight="1" x14ac:dyDescent="0.2">
      <c r="A119" s="12"/>
      <c r="B119" s="12"/>
      <c r="C119" s="24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ht="15.75" customHeight="1" x14ac:dyDescent="0.2">
      <c r="A120" s="12"/>
      <c r="B120" s="12"/>
      <c r="C120" s="24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15.75" customHeight="1" x14ac:dyDescent="0.2">
      <c r="A121" s="12"/>
      <c r="B121" s="12"/>
      <c r="C121" s="24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ht="15.75" customHeight="1" x14ac:dyDescent="0.2">
      <c r="A122" s="12"/>
      <c r="B122" s="12"/>
      <c r="C122" s="24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 ht="15.75" customHeight="1" x14ac:dyDescent="0.2">
      <c r="A123" s="12"/>
      <c r="B123" s="12"/>
      <c r="C123" s="24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 ht="15.75" customHeight="1" x14ac:dyDescent="0.2">
      <c r="A124" s="12"/>
      <c r="B124" s="12"/>
      <c r="C124" s="24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ht="15.75" customHeight="1" x14ac:dyDescent="0.2">
      <c r="A125" s="12"/>
      <c r="B125" s="12"/>
      <c r="C125" s="24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ht="15.75" customHeight="1" x14ac:dyDescent="0.2">
      <c r="A126" s="12"/>
      <c r="B126" s="12"/>
      <c r="C126" s="24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15.75" customHeight="1" x14ac:dyDescent="0.2">
      <c r="A127" s="12"/>
      <c r="B127" s="12"/>
      <c r="C127" s="24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ht="15.75" customHeight="1" x14ac:dyDescent="0.2">
      <c r="A128" s="12"/>
      <c r="B128" s="12"/>
      <c r="C128" s="24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ht="15.75" customHeight="1" x14ac:dyDescent="0.2">
      <c r="A129" s="12"/>
      <c r="B129" s="12"/>
      <c r="C129" s="24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 ht="15.75" customHeight="1" x14ac:dyDescent="0.2">
      <c r="A130" s="12"/>
      <c r="B130" s="12"/>
      <c r="C130" s="24"/>
      <c r="D130" s="13"/>
      <c r="E130" s="13"/>
      <c r="F130" s="13"/>
      <c r="G130" s="13"/>
      <c r="H130" s="13"/>
      <c r="I130" s="13"/>
      <c r="J130" s="13"/>
      <c r="K130" s="13"/>
      <c r="L130" s="13"/>
    </row>
    <row r="131" spans="1:12" ht="15.75" customHeight="1" x14ac:dyDescent="0.2">
      <c r="A131" s="12"/>
      <c r="B131" s="12"/>
      <c r="C131" s="24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1:12" ht="15.75" customHeight="1" x14ac:dyDescent="0.2">
      <c r="A132" s="12"/>
      <c r="B132" s="12"/>
      <c r="C132" s="24"/>
      <c r="D132" s="13"/>
      <c r="E132" s="13"/>
      <c r="F132" s="13"/>
      <c r="G132" s="13"/>
      <c r="H132" s="13"/>
      <c r="I132" s="13"/>
      <c r="J132" s="13"/>
      <c r="K132" s="13"/>
      <c r="L132" s="13"/>
    </row>
    <row r="133" spans="1:12" ht="15.75" customHeight="1" x14ac:dyDescent="0.2">
      <c r="A133" s="12"/>
      <c r="B133" s="12"/>
      <c r="C133" s="24"/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1:12" ht="15.75" customHeight="1" x14ac:dyDescent="0.2">
      <c r="A134" s="12"/>
      <c r="B134" s="12"/>
      <c r="C134" s="24"/>
      <c r="D134" s="13"/>
      <c r="E134" s="13"/>
      <c r="F134" s="13"/>
      <c r="G134" s="13"/>
      <c r="H134" s="13"/>
      <c r="I134" s="13"/>
      <c r="J134" s="13"/>
      <c r="K134" s="13"/>
      <c r="L134" s="13"/>
    </row>
    <row r="135" spans="1:12" ht="15.75" customHeight="1" x14ac:dyDescent="0.2">
      <c r="A135" s="12"/>
      <c r="B135" s="12"/>
      <c r="C135" s="24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 ht="15.75" customHeight="1" x14ac:dyDescent="0.2">
      <c r="A136" s="12"/>
      <c r="B136" s="12"/>
      <c r="C136" s="24"/>
      <c r="D136" s="13"/>
      <c r="E136" s="13"/>
      <c r="F136" s="13"/>
      <c r="G136" s="13"/>
      <c r="H136" s="13"/>
      <c r="I136" s="13"/>
      <c r="J136" s="13"/>
      <c r="K136" s="13"/>
      <c r="L136" s="13"/>
    </row>
    <row r="137" spans="1:12" ht="15.75" customHeight="1" x14ac:dyDescent="0.2">
      <c r="A137" s="12"/>
      <c r="B137" s="12"/>
      <c r="C137" s="24"/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1:12" ht="15.75" customHeight="1" x14ac:dyDescent="0.2">
      <c r="A138" s="12"/>
      <c r="B138" s="12"/>
      <c r="C138" s="24"/>
      <c r="D138" s="13"/>
      <c r="E138" s="13"/>
      <c r="F138" s="13"/>
      <c r="G138" s="13"/>
      <c r="H138" s="13"/>
      <c r="I138" s="13"/>
      <c r="J138" s="13"/>
      <c r="K138" s="13"/>
      <c r="L138" s="13"/>
    </row>
    <row r="139" spans="1:12" ht="15.75" customHeight="1" x14ac:dyDescent="0.2">
      <c r="A139" s="12"/>
      <c r="B139" s="12"/>
      <c r="C139" s="24"/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1:12" ht="15.75" customHeight="1" x14ac:dyDescent="0.2">
      <c r="A140" s="12"/>
      <c r="B140" s="12"/>
      <c r="C140" s="24"/>
      <c r="D140" s="13"/>
      <c r="E140" s="13"/>
      <c r="F140" s="13"/>
      <c r="G140" s="13"/>
      <c r="H140" s="13"/>
      <c r="I140" s="13"/>
      <c r="J140" s="13"/>
      <c r="K140" s="13"/>
      <c r="L140" s="13"/>
    </row>
    <row r="141" spans="1:12" ht="15.75" customHeight="1" x14ac:dyDescent="0.2">
      <c r="A141" s="12"/>
      <c r="B141" s="12"/>
      <c r="C141" s="24"/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1:12" ht="15.75" customHeight="1" x14ac:dyDescent="0.2">
      <c r="A142" s="12"/>
      <c r="B142" s="12"/>
      <c r="C142" s="24"/>
      <c r="D142" s="13"/>
      <c r="E142" s="13"/>
      <c r="F142" s="13"/>
      <c r="G142" s="13"/>
      <c r="H142" s="13"/>
      <c r="I142" s="13"/>
      <c r="J142" s="13"/>
      <c r="K142" s="13"/>
      <c r="L142" s="13"/>
    </row>
    <row r="143" spans="1:12" ht="15.75" customHeight="1" x14ac:dyDescent="0.2">
      <c r="A143" s="12"/>
      <c r="B143" s="12"/>
      <c r="C143" s="24"/>
      <c r="D143" s="13"/>
      <c r="E143" s="13"/>
      <c r="F143" s="13"/>
      <c r="G143" s="13"/>
      <c r="H143" s="13"/>
      <c r="I143" s="13"/>
      <c r="J143" s="13"/>
      <c r="K143" s="13"/>
      <c r="L143" s="13"/>
    </row>
    <row r="144" spans="1:12" ht="15.75" customHeight="1" x14ac:dyDescent="0.2">
      <c r="A144" s="12"/>
      <c r="B144" s="12"/>
      <c r="C144" s="24"/>
      <c r="D144" s="13"/>
      <c r="E144" s="13"/>
      <c r="F144" s="13"/>
      <c r="G144" s="13"/>
      <c r="H144" s="13"/>
      <c r="I144" s="13"/>
      <c r="J144" s="13"/>
      <c r="K144" s="13"/>
      <c r="L144" s="13"/>
    </row>
    <row r="145" spans="1:12" ht="15.75" customHeight="1" x14ac:dyDescent="0.2">
      <c r="A145" s="12"/>
      <c r="B145" s="12"/>
      <c r="C145" s="24"/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1:12" ht="15.75" customHeight="1" x14ac:dyDescent="0.2">
      <c r="A146" s="12"/>
      <c r="B146" s="12"/>
      <c r="C146" s="24"/>
      <c r="D146" s="13"/>
      <c r="E146" s="13"/>
      <c r="F146" s="13"/>
      <c r="G146" s="13"/>
      <c r="H146" s="13"/>
      <c r="I146" s="13"/>
      <c r="J146" s="13"/>
      <c r="K146" s="13"/>
      <c r="L146" s="13"/>
    </row>
    <row r="147" spans="1:12" ht="15.75" customHeight="1" x14ac:dyDescent="0.2">
      <c r="A147" s="12"/>
      <c r="B147" s="12"/>
      <c r="C147" s="24"/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1:12" ht="15.75" customHeight="1" x14ac:dyDescent="0.2">
      <c r="A148" s="12"/>
      <c r="B148" s="12"/>
      <c r="C148" s="24"/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1:12" ht="15.75" customHeight="1" x14ac:dyDescent="0.2">
      <c r="A149" s="12"/>
      <c r="B149" s="12"/>
      <c r="C149" s="24"/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1:12" ht="15.75" customHeight="1" x14ac:dyDescent="0.2">
      <c r="A150" s="12"/>
      <c r="B150" s="12"/>
      <c r="C150" s="24"/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1:12" ht="15.75" customHeight="1" x14ac:dyDescent="0.2">
      <c r="A151" s="12"/>
      <c r="B151" s="12"/>
      <c r="C151" s="24"/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1:12" ht="15.75" customHeight="1" x14ac:dyDescent="0.2">
      <c r="A152" s="12"/>
      <c r="B152" s="12"/>
      <c r="C152" s="24"/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1:12" ht="15.75" customHeight="1" x14ac:dyDescent="0.2">
      <c r="A153" s="12"/>
      <c r="B153" s="12"/>
      <c r="C153" s="24"/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1:12" ht="15.75" customHeight="1" x14ac:dyDescent="0.2">
      <c r="A154" s="12"/>
      <c r="B154" s="12"/>
      <c r="C154" s="24"/>
      <c r="D154" s="13"/>
      <c r="E154" s="13"/>
      <c r="F154" s="13"/>
      <c r="G154" s="13"/>
      <c r="H154" s="13"/>
      <c r="I154" s="13"/>
      <c r="J154" s="13"/>
      <c r="K154" s="13"/>
      <c r="L154" s="13"/>
    </row>
    <row r="155" spans="1:12" ht="15.75" customHeight="1" x14ac:dyDescent="0.2">
      <c r="A155" s="12"/>
      <c r="B155" s="12"/>
      <c r="C155" s="24"/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1:12" ht="15.75" customHeight="1" x14ac:dyDescent="0.2">
      <c r="A156" s="12"/>
      <c r="B156" s="12"/>
      <c r="C156" s="24"/>
      <c r="D156" s="13"/>
      <c r="E156" s="13"/>
      <c r="F156" s="13"/>
      <c r="G156" s="13"/>
      <c r="H156" s="13"/>
      <c r="I156" s="13"/>
      <c r="J156" s="13"/>
      <c r="K156" s="13"/>
      <c r="L156" s="13"/>
    </row>
    <row r="157" spans="1:12" ht="15.75" customHeight="1" x14ac:dyDescent="0.2">
      <c r="A157" s="12"/>
      <c r="B157" s="12"/>
      <c r="C157" s="24"/>
      <c r="D157" s="13"/>
      <c r="E157" s="13"/>
      <c r="F157" s="13"/>
      <c r="G157" s="13"/>
      <c r="H157" s="13"/>
      <c r="I157" s="13"/>
      <c r="J157" s="13"/>
      <c r="K157" s="13"/>
      <c r="L157" s="13"/>
    </row>
    <row r="158" spans="1:12" ht="15.75" customHeight="1" x14ac:dyDescent="0.2">
      <c r="A158" s="12"/>
      <c r="B158" s="12"/>
      <c r="C158" s="24"/>
      <c r="D158" s="13"/>
      <c r="E158" s="13"/>
      <c r="F158" s="13"/>
      <c r="G158" s="13"/>
      <c r="H158" s="13"/>
      <c r="I158" s="13"/>
      <c r="J158" s="13"/>
      <c r="K158" s="13"/>
      <c r="L158" s="13"/>
    </row>
    <row r="159" spans="1:12" ht="15.75" customHeight="1" x14ac:dyDescent="0.2">
      <c r="A159" s="12"/>
      <c r="B159" s="12"/>
      <c r="C159" s="24"/>
      <c r="D159" s="13"/>
      <c r="E159" s="13"/>
      <c r="F159" s="13"/>
      <c r="G159" s="13"/>
      <c r="H159" s="13"/>
      <c r="I159" s="13"/>
      <c r="J159" s="13"/>
      <c r="K159" s="13"/>
      <c r="L159" s="13"/>
    </row>
    <row r="160" spans="1:12" ht="15.75" customHeight="1" x14ac:dyDescent="0.2">
      <c r="A160" s="12"/>
      <c r="B160" s="12"/>
      <c r="C160" s="24"/>
      <c r="D160" s="13"/>
      <c r="E160" s="13"/>
      <c r="F160" s="13"/>
      <c r="G160" s="13"/>
      <c r="H160" s="13"/>
      <c r="I160" s="13"/>
      <c r="J160" s="13"/>
      <c r="K160" s="13"/>
      <c r="L160" s="13"/>
    </row>
    <row r="161" spans="1:12" ht="15.75" customHeight="1" x14ac:dyDescent="0.2">
      <c r="A161" s="12"/>
      <c r="B161" s="12"/>
      <c r="C161" s="24"/>
      <c r="D161" s="13"/>
      <c r="E161" s="13"/>
      <c r="F161" s="13"/>
      <c r="G161" s="13"/>
      <c r="H161" s="13"/>
      <c r="I161" s="13"/>
      <c r="J161" s="13"/>
      <c r="K161" s="13"/>
      <c r="L161" s="13"/>
    </row>
    <row r="162" spans="1:12" ht="15.75" customHeight="1" x14ac:dyDescent="0.2">
      <c r="A162" s="12"/>
      <c r="B162" s="12"/>
      <c r="C162" s="24"/>
      <c r="D162" s="13"/>
      <c r="E162" s="13"/>
      <c r="F162" s="13"/>
      <c r="G162" s="13"/>
      <c r="H162" s="13"/>
      <c r="I162" s="13"/>
      <c r="J162" s="13"/>
      <c r="K162" s="13"/>
      <c r="L162" s="13"/>
    </row>
    <row r="163" spans="1:12" ht="15.75" customHeight="1" x14ac:dyDescent="0.2">
      <c r="A163" s="12"/>
      <c r="B163" s="12"/>
      <c r="C163" s="24"/>
      <c r="D163" s="13"/>
      <c r="E163" s="13"/>
      <c r="F163" s="13"/>
      <c r="G163" s="13"/>
      <c r="H163" s="13"/>
      <c r="I163" s="13"/>
      <c r="J163" s="13"/>
      <c r="K163" s="13"/>
      <c r="L163" s="13"/>
    </row>
    <row r="164" spans="1:12" ht="15.75" customHeight="1" x14ac:dyDescent="0.2">
      <c r="A164" s="12"/>
      <c r="B164" s="12"/>
      <c r="C164" s="24"/>
      <c r="D164" s="13"/>
      <c r="E164" s="13"/>
      <c r="F164" s="13"/>
      <c r="G164" s="13"/>
      <c r="H164" s="13"/>
      <c r="I164" s="13"/>
      <c r="J164" s="13"/>
      <c r="K164" s="13"/>
      <c r="L164" s="13"/>
    </row>
    <row r="165" spans="1:12" ht="15.75" customHeight="1" x14ac:dyDescent="0.2">
      <c r="A165" s="12"/>
      <c r="B165" s="12"/>
      <c r="C165" s="24"/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1:12" ht="15.75" customHeight="1" x14ac:dyDescent="0.2">
      <c r="A166" s="12"/>
      <c r="B166" s="12"/>
      <c r="C166" s="24"/>
      <c r="D166" s="13"/>
      <c r="E166" s="13"/>
      <c r="F166" s="13"/>
      <c r="G166" s="13"/>
      <c r="H166" s="13"/>
      <c r="I166" s="13"/>
      <c r="J166" s="13"/>
      <c r="K166" s="13"/>
      <c r="L166" s="13"/>
    </row>
    <row r="167" spans="1:12" ht="15.75" customHeight="1" x14ac:dyDescent="0.2">
      <c r="A167" s="12"/>
      <c r="B167" s="12"/>
      <c r="C167" s="24"/>
      <c r="D167" s="13"/>
      <c r="E167" s="13"/>
      <c r="F167" s="13"/>
      <c r="G167" s="13"/>
      <c r="H167" s="13"/>
      <c r="I167" s="13"/>
      <c r="J167" s="13"/>
      <c r="K167" s="13"/>
      <c r="L167" s="13"/>
    </row>
    <row r="168" spans="1:12" ht="15.75" customHeight="1" x14ac:dyDescent="0.2">
      <c r="A168" s="12"/>
      <c r="B168" s="12"/>
      <c r="C168" s="24"/>
      <c r="D168" s="13"/>
      <c r="E168" s="13"/>
      <c r="F168" s="13"/>
      <c r="G168" s="13"/>
      <c r="H168" s="13"/>
      <c r="I168" s="13"/>
      <c r="J168" s="13"/>
      <c r="K168" s="13"/>
      <c r="L168" s="13"/>
    </row>
    <row r="169" spans="1:12" ht="15.75" customHeight="1" x14ac:dyDescent="0.2">
      <c r="A169" s="12"/>
      <c r="B169" s="12"/>
      <c r="C169" s="24"/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1:12" ht="15.75" customHeight="1" x14ac:dyDescent="0.2"/>
    <row r="171" spans="1:12" ht="15.75" customHeight="1" x14ac:dyDescent="0.2"/>
    <row r="172" spans="1:12" ht="15.75" customHeight="1" x14ac:dyDescent="0.2"/>
    <row r="173" spans="1:12" ht="15.75" customHeight="1" x14ac:dyDescent="0.2"/>
    <row r="174" spans="1:12" ht="15.75" customHeight="1" x14ac:dyDescent="0.2"/>
    <row r="175" spans="1:12" ht="15.75" customHeight="1" x14ac:dyDescent="0.2"/>
    <row r="176" spans="1:12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D1:F1"/>
    <mergeCell ref="G1:I1"/>
    <mergeCell ref="J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00"/>
  <sheetViews>
    <sheetView workbookViewId="0">
      <selection activeCell="N3" sqref="N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23</v>
      </c>
      <c r="D1" s="29"/>
      <c r="E1" s="28"/>
      <c r="F1" s="27" t="s">
        <v>24</v>
      </c>
      <c r="G1" s="29"/>
      <c r="H1" s="28"/>
      <c r="I1" s="27" t="s">
        <v>25</v>
      </c>
      <c r="J1" s="29"/>
      <c r="K1" s="28"/>
      <c r="L1" s="1" t="s">
        <v>4</v>
      </c>
      <c r="M1" s="1">
        <f>AVERAGE(C3,F3,I3)</f>
        <v>12.666666666666666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8">
        <v>45745</v>
      </c>
      <c r="B3" s="9">
        <v>0.58333333333333337</v>
      </c>
      <c r="C3" s="13">
        <v>14</v>
      </c>
      <c r="D3" s="13">
        <v>0</v>
      </c>
      <c r="E3" s="13">
        <v>0</v>
      </c>
      <c r="F3" s="13">
        <v>12</v>
      </c>
      <c r="G3" s="13">
        <v>0</v>
      </c>
      <c r="H3" s="13">
        <v>0</v>
      </c>
      <c r="I3" s="13">
        <v>12</v>
      </c>
      <c r="J3" s="13">
        <v>0</v>
      </c>
      <c r="K3" s="13">
        <v>0</v>
      </c>
      <c r="L3" s="1">
        <f t="shared" ref="L3:L10" si="0">AVERAGE(C3,F3,I3)</f>
        <v>12.666666666666666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8">
        <v>45745</v>
      </c>
      <c r="B4" s="9">
        <v>0.96388888888888891</v>
      </c>
      <c r="C4" s="13">
        <v>13</v>
      </c>
      <c r="D4" s="13">
        <v>0</v>
      </c>
      <c r="E4" s="13">
        <v>1</v>
      </c>
      <c r="F4" s="13">
        <v>11</v>
      </c>
      <c r="G4" s="13">
        <v>1</v>
      </c>
      <c r="H4" s="13">
        <v>0</v>
      </c>
      <c r="I4" s="13">
        <v>9</v>
      </c>
      <c r="J4" s="13">
        <v>1</v>
      </c>
      <c r="K4" s="13">
        <v>2</v>
      </c>
      <c r="L4" s="1">
        <f t="shared" si="0"/>
        <v>11</v>
      </c>
      <c r="M4" s="2">
        <f>L4/M1*100</f>
        <v>86.842105263157904</v>
      </c>
      <c r="N4" s="7">
        <v>9</v>
      </c>
      <c r="O4" s="7">
        <f t="shared" ref="O4:O10" si="1">O3+TEXT(B4-B3,"h")</f>
        <v>9</v>
      </c>
    </row>
    <row r="5" spans="1:15" ht="15.75" customHeight="1" x14ac:dyDescent="0.2">
      <c r="A5" s="8">
        <v>45746</v>
      </c>
      <c r="B5" s="9">
        <v>0.40416666666666667</v>
      </c>
      <c r="C5" s="13">
        <v>12</v>
      </c>
      <c r="D5" s="13">
        <v>2</v>
      </c>
      <c r="E5" s="13">
        <v>0</v>
      </c>
      <c r="F5" s="13">
        <v>8</v>
      </c>
      <c r="G5" s="13">
        <v>2</v>
      </c>
      <c r="H5" s="13">
        <v>2</v>
      </c>
      <c r="I5" s="13">
        <v>9</v>
      </c>
      <c r="J5" s="13">
        <v>1</v>
      </c>
      <c r="K5" s="13">
        <v>2</v>
      </c>
      <c r="L5" s="1">
        <f t="shared" si="0"/>
        <v>9.6666666666666661</v>
      </c>
      <c r="M5" s="2">
        <f>L5/M1*100</f>
        <v>76.31578947368422</v>
      </c>
      <c r="N5" s="7">
        <v>19.5</v>
      </c>
      <c r="O5" s="7" t="e">
        <f t="shared" si="1"/>
        <v>#VALUE!</v>
      </c>
    </row>
    <row r="6" spans="1:15" ht="15.75" customHeight="1" x14ac:dyDescent="0.2">
      <c r="A6" s="8">
        <v>45746</v>
      </c>
      <c r="B6" s="9">
        <v>0.62638888888888888</v>
      </c>
      <c r="C6" s="13">
        <v>7</v>
      </c>
      <c r="D6" s="13">
        <v>7</v>
      </c>
      <c r="E6" s="13">
        <v>0</v>
      </c>
      <c r="F6" s="13">
        <v>6</v>
      </c>
      <c r="G6" s="13">
        <v>4</v>
      </c>
      <c r="H6" s="13">
        <v>2</v>
      </c>
      <c r="I6" s="13">
        <v>4</v>
      </c>
      <c r="J6" s="13">
        <v>5</v>
      </c>
      <c r="K6" s="13">
        <v>3</v>
      </c>
      <c r="L6" s="1">
        <f t="shared" si="0"/>
        <v>5.666666666666667</v>
      </c>
      <c r="M6" s="2">
        <f>L6/M1*100</f>
        <v>44.736842105263165</v>
      </c>
      <c r="N6" s="7">
        <v>24.83</v>
      </c>
      <c r="O6" s="7" t="e">
        <f t="shared" si="1"/>
        <v>#VALUE!</v>
      </c>
    </row>
    <row r="7" spans="1:15" ht="15.75" customHeight="1" x14ac:dyDescent="0.2">
      <c r="A7" s="8">
        <v>45746</v>
      </c>
      <c r="B7" s="9">
        <v>0.96111111111111114</v>
      </c>
      <c r="C7" s="13">
        <v>0</v>
      </c>
      <c r="D7" s="13">
        <v>14</v>
      </c>
      <c r="E7" s="13">
        <v>0</v>
      </c>
      <c r="F7" s="13">
        <v>3</v>
      </c>
      <c r="G7" s="13">
        <v>7</v>
      </c>
      <c r="H7" s="13">
        <v>2</v>
      </c>
      <c r="I7" s="13">
        <v>1</v>
      </c>
      <c r="J7" s="13">
        <v>8</v>
      </c>
      <c r="K7" s="13">
        <v>3</v>
      </c>
      <c r="L7" s="1">
        <f t="shared" si="0"/>
        <v>1.3333333333333333</v>
      </c>
      <c r="M7" s="2">
        <f>L7/M1*100</f>
        <v>10.526315789473683</v>
      </c>
      <c r="N7" s="7">
        <v>32.83</v>
      </c>
      <c r="O7" s="7" t="e">
        <f t="shared" si="1"/>
        <v>#VALUE!</v>
      </c>
    </row>
    <row r="8" spans="1:15" ht="15.75" customHeight="1" x14ac:dyDescent="0.2">
      <c r="A8" s="8">
        <v>45747</v>
      </c>
      <c r="B8" s="9">
        <v>0.38194444444444442</v>
      </c>
      <c r="C8" s="13">
        <v>0</v>
      </c>
      <c r="D8" s="13">
        <v>14</v>
      </c>
      <c r="E8" s="13">
        <v>0</v>
      </c>
      <c r="F8" s="13">
        <v>0</v>
      </c>
      <c r="G8" s="13">
        <v>11</v>
      </c>
      <c r="H8" s="13">
        <v>1</v>
      </c>
      <c r="I8" s="13">
        <v>0</v>
      </c>
      <c r="J8" s="13">
        <v>10</v>
      </c>
      <c r="K8" s="13">
        <v>2</v>
      </c>
      <c r="L8" s="1">
        <f t="shared" si="0"/>
        <v>0</v>
      </c>
      <c r="M8" s="2">
        <f>L8/M1*100</f>
        <v>0</v>
      </c>
      <c r="N8" s="7">
        <v>42.83</v>
      </c>
      <c r="O8" s="7" t="e">
        <f t="shared" si="1"/>
        <v>#VALUE!</v>
      </c>
    </row>
    <row r="9" spans="1:15" ht="15.75" customHeight="1" x14ac:dyDescent="0.2">
      <c r="A9" s="8">
        <v>45747</v>
      </c>
      <c r="B9" s="9">
        <v>0.66180555555555554</v>
      </c>
      <c r="C9" s="13">
        <v>0</v>
      </c>
      <c r="D9" s="13">
        <v>14</v>
      </c>
      <c r="E9" s="13">
        <v>0</v>
      </c>
      <c r="F9" s="13">
        <v>0</v>
      </c>
      <c r="G9" s="13">
        <v>12</v>
      </c>
      <c r="H9" s="13">
        <v>0</v>
      </c>
      <c r="I9" s="13">
        <v>0</v>
      </c>
      <c r="J9" s="13">
        <v>12</v>
      </c>
      <c r="K9" s="13">
        <v>0</v>
      </c>
      <c r="L9" s="1">
        <f t="shared" si="0"/>
        <v>0</v>
      </c>
      <c r="M9" s="2">
        <f>L9/M1*100</f>
        <v>0</v>
      </c>
      <c r="N9" s="7"/>
      <c r="O9" s="7" t="e">
        <f t="shared" si="1"/>
        <v>#VALUE!</v>
      </c>
    </row>
    <row r="10" spans="1:15" ht="15.75" customHeight="1" x14ac:dyDescent="0.2">
      <c r="A10" s="11">
        <v>45748</v>
      </c>
      <c r="B10" s="9">
        <v>6.9444444444444441E-3</v>
      </c>
      <c r="C10" s="13">
        <v>0</v>
      </c>
      <c r="D10" s="13">
        <v>14</v>
      </c>
      <c r="E10" s="13">
        <v>0</v>
      </c>
      <c r="F10" s="13">
        <v>0</v>
      </c>
      <c r="G10" s="13">
        <v>12</v>
      </c>
      <c r="H10" s="13">
        <v>0</v>
      </c>
      <c r="I10" s="13">
        <v>0</v>
      </c>
      <c r="J10" s="13">
        <v>12</v>
      </c>
      <c r="K10" s="13">
        <v>0</v>
      </c>
      <c r="L10" s="1">
        <f t="shared" si="0"/>
        <v>0</v>
      </c>
      <c r="M10" s="2">
        <f>L10/M1*100</f>
        <v>0</v>
      </c>
      <c r="N10" s="7"/>
      <c r="O10" s="7" t="e">
        <f t="shared" si="1"/>
        <v>#VALUE!</v>
      </c>
    </row>
    <row r="11" spans="1:15" ht="15.75" customHeight="1" x14ac:dyDescent="0.2">
      <c r="A11" s="12"/>
      <c r="B11" s="12"/>
      <c r="C11" s="13"/>
      <c r="D11" s="13"/>
      <c r="E11" s="13"/>
      <c r="F11" s="13"/>
      <c r="G11" s="13"/>
      <c r="H11" s="13"/>
      <c r="I11" s="13"/>
      <c r="J11" s="13"/>
      <c r="K11" s="13"/>
    </row>
    <row r="12" spans="1:15" ht="15.75" customHeight="1" x14ac:dyDescent="0.2">
      <c r="A12" s="12"/>
      <c r="B12" s="12"/>
      <c r="C12" s="13"/>
      <c r="D12" s="13"/>
      <c r="E12" s="13"/>
      <c r="F12" s="13"/>
      <c r="G12" s="13"/>
      <c r="H12" s="13"/>
      <c r="I12" s="13"/>
      <c r="J12" s="13"/>
      <c r="K12" s="13"/>
    </row>
    <row r="13" spans="1:15" ht="15.75" customHeight="1" x14ac:dyDescent="0.2">
      <c r="A13" s="12"/>
      <c r="B13" s="12"/>
      <c r="C13" s="13"/>
      <c r="D13" s="13"/>
      <c r="E13" s="13"/>
      <c r="F13" s="13"/>
      <c r="G13" s="13"/>
      <c r="H13" s="13"/>
      <c r="I13" s="13"/>
      <c r="J13" s="13"/>
      <c r="K13" s="13"/>
    </row>
    <row r="14" spans="1:15" ht="15.75" customHeight="1" x14ac:dyDescent="0.2">
      <c r="A14" s="12"/>
      <c r="B14" s="12"/>
      <c r="C14" s="13"/>
      <c r="D14" s="13"/>
      <c r="E14" s="13"/>
      <c r="F14" s="13"/>
      <c r="G14" s="13"/>
      <c r="H14" s="13"/>
      <c r="I14" s="13"/>
      <c r="J14" s="13"/>
      <c r="K14" s="13"/>
    </row>
    <row r="15" spans="1:15" ht="15.75" customHeight="1" x14ac:dyDescent="0.2">
      <c r="A15" s="12"/>
      <c r="B15" s="12"/>
      <c r="C15" s="13"/>
      <c r="D15" s="13"/>
      <c r="E15" s="13"/>
      <c r="F15" s="13"/>
      <c r="G15" s="13"/>
      <c r="H15" s="13"/>
      <c r="I15" s="13"/>
      <c r="J15" s="13"/>
      <c r="K15" s="13"/>
    </row>
    <row r="16" spans="1:15" ht="15.75" customHeight="1" x14ac:dyDescent="0.2">
      <c r="A16" s="12"/>
      <c r="B16" s="12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5.75" customHeight="1" x14ac:dyDescent="0.2">
      <c r="A17" s="12"/>
      <c r="B17" s="12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5.75" customHeight="1" x14ac:dyDescent="0.2">
      <c r="A18" s="12"/>
      <c r="B18" s="12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.75" customHeight="1" x14ac:dyDescent="0.2">
      <c r="A19" s="12"/>
      <c r="B19" s="12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.75" customHeight="1" x14ac:dyDescent="0.2">
      <c r="A20" s="12"/>
      <c r="B20" s="12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.75" customHeight="1" x14ac:dyDescent="0.2">
      <c r="A21" s="12"/>
      <c r="B21" s="12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.75" customHeight="1" x14ac:dyDescent="0.2">
      <c r="A22" s="12"/>
      <c r="B22" s="12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.75" customHeight="1" x14ac:dyDescent="0.2">
      <c r="A23" s="12"/>
      <c r="B23" s="12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.75" customHeight="1" x14ac:dyDescent="0.2">
      <c r="A24" s="12"/>
      <c r="B24" s="12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.75" customHeight="1" x14ac:dyDescent="0.2">
      <c r="A25" s="12"/>
      <c r="B25" s="12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.75" customHeight="1" x14ac:dyDescent="0.2">
      <c r="A26" s="12"/>
      <c r="B26" s="12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.75" customHeight="1" x14ac:dyDescent="0.2">
      <c r="A27" s="12"/>
      <c r="B27" s="12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.75" customHeight="1" x14ac:dyDescent="0.2">
      <c r="A28" s="12"/>
      <c r="B28" s="12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.75" customHeight="1" x14ac:dyDescent="0.2">
      <c r="A29" s="12"/>
      <c r="B29" s="12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.75" customHeight="1" x14ac:dyDescent="0.2">
      <c r="A30" s="12"/>
      <c r="B30" s="12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.75" customHeight="1" x14ac:dyDescent="0.2">
      <c r="A31" s="12"/>
      <c r="B31" s="12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.75" customHeight="1" x14ac:dyDescent="0.2">
      <c r="A32" s="12"/>
      <c r="B32" s="12"/>
      <c r="C32" s="13"/>
      <c r="D32" s="13"/>
      <c r="E32" s="13"/>
      <c r="F32" s="13"/>
      <c r="G32" s="13"/>
      <c r="H32" s="13"/>
      <c r="I32" s="13"/>
      <c r="J32" s="13"/>
      <c r="K32" s="13"/>
    </row>
    <row r="33" spans="1:11" ht="15.75" customHeight="1" x14ac:dyDescent="0.2">
      <c r="A33" s="12"/>
      <c r="B33" s="12"/>
      <c r="C33" s="13"/>
      <c r="D33" s="13"/>
      <c r="E33" s="13"/>
      <c r="F33" s="13"/>
      <c r="G33" s="13"/>
      <c r="H33" s="13"/>
      <c r="I33" s="13"/>
      <c r="J33" s="13"/>
      <c r="K33" s="13"/>
    </row>
    <row r="34" spans="1:11" ht="15.75" customHeight="1" x14ac:dyDescent="0.2">
      <c r="A34" s="12"/>
      <c r="B34" s="12"/>
      <c r="C34" s="13"/>
      <c r="D34" s="13"/>
      <c r="E34" s="13"/>
      <c r="F34" s="13"/>
      <c r="G34" s="13"/>
      <c r="H34" s="13"/>
      <c r="I34" s="13"/>
      <c r="J34" s="13"/>
      <c r="K34" s="13"/>
    </row>
    <row r="35" spans="1:11" ht="15.75" customHeight="1" x14ac:dyDescent="0.2">
      <c r="A35" s="12"/>
      <c r="B35" s="12"/>
      <c r="C35" s="13"/>
      <c r="D35" s="13"/>
      <c r="E35" s="13"/>
      <c r="F35" s="13"/>
      <c r="G35" s="13"/>
      <c r="H35" s="13"/>
      <c r="I35" s="13"/>
      <c r="J35" s="13"/>
      <c r="K35" s="13"/>
    </row>
    <row r="36" spans="1:11" ht="15.75" customHeight="1" x14ac:dyDescent="0.2">
      <c r="A36" s="12"/>
      <c r="B36" s="12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5.75" customHeight="1" x14ac:dyDescent="0.2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</row>
    <row r="38" spans="1:11" ht="15.75" customHeight="1" x14ac:dyDescent="0.2">
      <c r="A38" s="12"/>
      <c r="B38" s="12"/>
      <c r="C38" s="13"/>
      <c r="D38" s="13"/>
      <c r="E38" s="13"/>
      <c r="F38" s="13"/>
      <c r="G38" s="13"/>
      <c r="H38" s="13"/>
      <c r="I38" s="13"/>
      <c r="J38" s="13"/>
      <c r="K38" s="13"/>
    </row>
    <row r="39" spans="1:11" ht="15.75" customHeight="1" x14ac:dyDescent="0.2">
      <c r="A39" s="12"/>
      <c r="B39" s="12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15.75" customHeight="1" x14ac:dyDescent="0.2">
      <c r="A40" s="12"/>
      <c r="B40" s="12"/>
      <c r="C40" s="13"/>
      <c r="D40" s="13"/>
      <c r="E40" s="13"/>
      <c r="F40" s="13"/>
      <c r="G40" s="13"/>
      <c r="H40" s="13"/>
      <c r="I40" s="13"/>
      <c r="J40" s="13"/>
      <c r="K40" s="13"/>
    </row>
    <row r="41" spans="1:11" ht="15.75" customHeight="1" x14ac:dyDescent="0.2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</row>
    <row r="42" spans="1:11" ht="15.75" customHeight="1" x14ac:dyDescent="0.2">
      <c r="A42" s="12"/>
      <c r="B42" s="12"/>
      <c r="C42" s="13"/>
      <c r="D42" s="13"/>
      <c r="E42" s="13"/>
      <c r="F42" s="13"/>
      <c r="G42" s="13"/>
      <c r="H42" s="13"/>
      <c r="I42" s="13"/>
      <c r="J42" s="13"/>
      <c r="K42" s="13"/>
    </row>
    <row r="43" spans="1:11" ht="15.75" customHeight="1" x14ac:dyDescent="0.2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3"/>
    </row>
    <row r="44" spans="1:11" ht="15.75" customHeight="1" x14ac:dyDescent="0.2">
      <c r="A44" s="12"/>
      <c r="B44" s="12"/>
      <c r="C44" s="13"/>
      <c r="D44" s="13"/>
      <c r="E44" s="13"/>
      <c r="F44" s="13"/>
      <c r="G44" s="13"/>
      <c r="H44" s="13"/>
      <c r="I44" s="13"/>
      <c r="J44" s="13"/>
      <c r="K44" s="13"/>
    </row>
    <row r="45" spans="1:11" ht="15.75" customHeight="1" x14ac:dyDescent="0.2">
      <c r="A45" s="12"/>
      <c r="B45" s="12"/>
      <c r="C45" s="13"/>
      <c r="D45" s="13"/>
      <c r="E45" s="13"/>
      <c r="F45" s="13"/>
      <c r="G45" s="13"/>
      <c r="H45" s="13"/>
      <c r="I45" s="13"/>
      <c r="J45" s="13"/>
      <c r="K45" s="13"/>
    </row>
    <row r="46" spans="1:11" ht="15.75" customHeight="1" x14ac:dyDescent="0.2">
      <c r="A46" s="12"/>
      <c r="B46" s="12"/>
      <c r="C46" s="13"/>
      <c r="D46" s="13"/>
      <c r="E46" s="13"/>
      <c r="F46" s="13"/>
      <c r="G46" s="13"/>
      <c r="H46" s="13"/>
      <c r="I46" s="13"/>
      <c r="J46" s="13"/>
      <c r="K46" s="13"/>
    </row>
    <row r="47" spans="1:11" ht="15.75" customHeight="1" x14ac:dyDescent="0.2">
      <c r="A47" s="12"/>
      <c r="B47" s="12"/>
      <c r="C47" s="13"/>
      <c r="D47" s="13"/>
      <c r="E47" s="13"/>
      <c r="F47" s="13"/>
      <c r="G47" s="13"/>
      <c r="H47" s="13"/>
      <c r="I47" s="13"/>
      <c r="J47" s="13"/>
      <c r="K47" s="13"/>
    </row>
    <row r="48" spans="1:11" ht="15.75" customHeight="1" x14ac:dyDescent="0.2">
      <c r="A48" s="12"/>
      <c r="B48" s="12"/>
      <c r="C48" s="13"/>
      <c r="D48" s="13"/>
      <c r="E48" s="13"/>
      <c r="F48" s="13"/>
      <c r="G48" s="13"/>
      <c r="H48" s="13"/>
      <c r="I48" s="13"/>
      <c r="J48" s="13"/>
      <c r="K48" s="13"/>
    </row>
    <row r="49" spans="1:11" ht="15.75" customHeight="1" x14ac:dyDescent="0.2">
      <c r="A49" s="12"/>
      <c r="B49" s="12"/>
      <c r="C49" s="13"/>
      <c r="D49" s="13"/>
      <c r="E49" s="13"/>
      <c r="F49" s="13"/>
      <c r="G49" s="13"/>
      <c r="H49" s="13"/>
      <c r="I49" s="13"/>
      <c r="J49" s="13"/>
      <c r="K49" s="13"/>
    </row>
    <row r="50" spans="1:11" ht="15.75" customHeight="1" x14ac:dyDescent="0.2">
      <c r="A50" s="12"/>
      <c r="B50" s="12"/>
      <c r="C50" s="13"/>
      <c r="D50" s="13"/>
      <c r="E50" s="13"/>
      <c r="F50" s="13"/>
      <c r="G50" s="13"/>
      <c r="H50" s="13"/>
      <c r="I50" s="13"/>
      <c r="J50" s="13"/>
      <c r="K50" s="13"/>
    </row>
    <row r="51" spans="1:11" ht="15.75" customHeight="1" x14ac:dyDescent="0.2">
      <c r="A51" s="3"/>
      <c r="B51" s="12"/>
      <c r="C51" s="13"/>
      <c r="D51" s="13"/>
      <c r="E51" s="13"/>
      <c r="F51" s="13"/>
      <c r="G51" s="13"/>
      <c r="H51" s="13"/>
      <c r="I51" s="13"/>
      <c r="J51" s="13"/>
      <c r="K51" s="13"/>
    </row>
    <row r="52" spans="1:11" ht="15.75" customHeight="1" x14ac:dyDescent="0.2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</row>
    <row r="53" spans="1:11" ht="15.75" customHeight="1" x14ac:dyDescent="0.2">
      <c r="A53" s="12"/>
      <c r="B53" s="12"/>
      <c r="C53" s="13"/>
      <c r="D53" s="13"/>
      <c r="E53" s="13"/>
      <c r="F53" s="13"/>
      <c r="G53" s="13"/>
      <c r="H53" s="13"/>
      <c r="I53" s="13"/>
      <c r="J53" s="13"/>
      <c r="K53" s="13"/>
    </row>
    <row r="54" spans="1:11" ht="15.75" customHeight="1" x14ac:dyDescent="0.2">
      <c r="A54" s="12"/>
      <c r="B54" s="12"/>
      <c r="C54" s="13"/>
      <c r="D54" s="13"/>
      <c r="E54" s="13"/>
      <c r="F54" s="13"/>
      <c r="G54" s="13"/>
      <c r="H54" s="13"/>
      <c r="I54" s="13"/>
      <c r="J54" s="13"/>
      <c r="K54" s="13"/>
    </row>
    <row r="55" spans="1:11" ht="15.75" customHeight="1" x14ac:dyDescent="0.2">
      <c r="A55" s="12"/>
      <c r="B55" s="12"/>
      <c r="C55" s="13"/>
      <c r="D55" s="13"/>
      <c r="E55" s="13"/>
      <c r="F55" s="13"/>
      <c r="G55" s="13"/>
      <c r="H55" s="13"/>
      <c r="I55" s="13"/>
      <c r="J55" s="13"/>
      <c r="K55" s="13"/>
    </row>
    <row r="56" spans="1:11" ht="15.75" customHeight="1" x14ac:dyDescent="0.2">
      <c r="A56" s="12"/>
      <c r="B56" s="12"/>
      <c r="C56" s="13"/>
      <c r="D56" s="13"/>
      <c r="E56" s="13"/>
      <c r="F56" s="13"/>
      <c r="G56" s="13"/>
      <c r="H56" s="13"/>
      <c r="I56" s="13"/>
      <c r="J56" s="13"/>
      <c r="K56" s="13"/>
    </row>
    <row r="57" spans="1:11" ht="15.75" customHeight="1" x14ac:dyDescent="0.2">
      <c r="A57" s="12"/>
      <c r="B57" s="12"/>
      <c r="C57" s="13"/>
      <c r="D57" s="13"/>
      <c r="E57" s="13"/>
      <c r="F57" s="13"/>
      <c r="G57" s="13"/>
      <c r="H57" s="13"/>
      <c r="I57" s="13"/>
      <c r="J57" s="13"/>
      <c r="K57" s="13"/>
    </row>
    <row r="58" spans="1:11" ht="15.75" customHeight="1" x14ac:dyDescent="0.2">
      <c r="A58" s="12"/>
      <c r="B58" s="12"/>
      <c r="C58" s="13"/>
      <c r="D58" s="13"/>
      <c r="E58" s="13"/>
      <c r="F58" s="13"/>
      <c r="G58" s="13"/>
      <c r="H58" s="13"/>
      <c r="I58" s="13"/>
      <c r="J58" s="13"/>
      <c r="K58" s="13"/>
    </row>
    <row r="59" spans="1:11" ht="15.75" customHeight="1" x14ac:dyDescent="0.2">
      <c r="A59" s="12"/>
      <c r="B59" s="12"/>
      <c r="C59" s="13"/>
      <c r="D59" s="13"/>
      <c r="E59" s="13"/>
      <c r="F59" s="13"/>
      <c r="G59" s="13"/>
      <c r="H59" s="13"/>
      <c r="I59" s="13"/>
      <c r="J59" s="13"/>
      <c r="K59" s="13"/>
    </row>
    <row r="60" spans="1:11" ht="15.75" customHeight="1" x14ac:dyDescent="0.2">
      <c r="A60" s="12"/>
      <c r="B60" s="12"/>
      <c r="C60" s="13"/>
      <c r="D60" s="13"/>
      <c r="E60" s="13"/>
      <c r="F60" s="13"/>
      <c r="G60" s="13"/>
      <c r="H60" s="13"/>
      <c r="I60" s="13"/>
      <c r="J60" s="13"/>
      <c r="K60" s="13"/>
    </row>
    <row r="61" spans="1:11" ht="15.75" customHeight="1" x14ac:dyDescent="0.2">
      <c r="A61" s="12"/>
      <c r="B61" s="12"/>
      <c r="C61" s="13"/>
      <c r="D61" s="13"/>
      <c r="E61" s="13"/>
      <c r="F61" s="13"/>
      <c r="G61" s="13"/>
      <c r="H61" s="13"/>
      <c r="I61" s="13"/>
      <c r="J61" s="13"/>
      <c r="K61" s="13"/>
    </row>
    <row r="62" spans="1:11" ht="15.75" customHeight="1" x14ac:dyDescent="0.2">
      <c r="A62" s="12"/>
      <c r="B62" s="12"/>
      <c r="C62" s="13"/>
      <c r="D62" s="13"/>
      <c r="E62" s="13"/>
      <c r="F62" s="13"/>
      <c r="G62" s="13"/>
      <c r="H62" s="13"/>
      <c r="I62" s="13"/>
      <c r="J62" s="13"/>
      <c r="K62" s="13"/>
    </row>
    <row r="63" spans="1:11" ht="15.75" customHeight="1" x14ac:dyDescent="0.2">
      <c r="A63" s="12"/>
      <c r="B63" s="12"/>
      <c r="C63" s="13"/>
      <c r="D63" s="13"/>
      <c r="E63" s="13"/>
      <c r="F63" s="13"/>
      <c r="G63" s="13"/>
      <c r="H63" s="13"/>
      <c r="I63" s="13"/>
      <c r="J63" s="13"/>
      <c r="K63" s="13"/>
    </row>
    <row r="64" spans="1:11" ht="15.75" customHeight="1" x14ac:dyDescent="0.2">
      <c r="A64" s="12"/>
      <c r="B64" s="12"/>
      <c r="C64" s="13"/>
      <c r="D64" s="13"/>
      <c r="E64" s="13"/>
      <c r="F64" s="13"/>
      <c r="G64" s="13"/>
      <c r="H64" s="13"/>
      <c r="I64" s="13"/>
      <c r="J64" s="13"/>
      <c r="K64" s="13"/>
    </row>
    <row r="65" spans="1:11" ht="15.75" customHeight="1" x14ac:dyDescent="0.2">
      <c r="A65" s="12"/>
      <c r="B65" s="12"/>
      <c r="C65" s="13"/>
      <c r="D65" s="13"/>
      <c r="E65" s="13"/>
      <c r="F65" s="13"/>
      <c r="G65" s="13"/>
      <c r="H65" s="13"/>
      <c r="I65" s="13"/>
      <c r="J65" s="13"/>
      <c r="K65" s="13"/>
    </row>
    <row r="66" spans="1:11" ht="15.75" customHeight="1" x14ac:dyDescent="0.2">
      <c r="A66" s="12"/>
      <c r="B66" s="12"/>
      <c r="C66" s="13"/>
      <c r="D66" s="13"/>
      <c r="E66" s="13"/>
      <c r="F66" s="13"/>
      <c r="G66" s="13"/>
      <c r="H66" s="13"/>
      <c r="I66" s="13"/>
      <c r="J66" s="13"/>
      <c r="K66" s="13"/>
    </row>
    <row r="67" spans="1:11" ht="15.75" customHeight="1" x14ac:dyDescent="0.2">
      <c r="A67" s="12"/>
      <c r="B67" s="12"/>
      <c r="C67" s="13"/>
      <c r="D67" s="13"/>
      <c r="E67" s="13"/>
      <c r="F67" s="13"/>
      <c r="G67" s="13"/>
      <c r="H67" s="13"/>
      <c r="I67" s="13"/>
      <c r="J67" s="13"/>
      <c r="K67" s="13"/>
    </row>
    <row r="68" spans="1:11" ht="15.75" customHeight="1" x14ac:dyDescent="0.2">
      <c r="A68" s="12"/>
      <c r="B68" s="12"/>
      <c r="C68" s="13"/>
      <c r="D68" s="13"/>
      <c r="E68" s="13"/>
      <c r="F68" s="13"/>
      <c r="G68" s="13"/>
      <c r="H68" s="13"/>
      <c r="I68" s="13"/>
      <c r="J68" s="13"/>
      <c r="K68" s="13"/>
    </row>
    <row r="69" spans="1:11" ht="15.75" customHeight="1" x14ac:dyDescent="0.2">
      <c r="A69" s="12"/>
      <c r="B69" s="12"/>
      <c r="C69" s="13"/>
      <c r="D69" s="13"/>
      <c r="E69" s="13"/>
      <c r="F69" s="13"/>
      <c r="G69" s="13"/>
      <c r="H69" s="13"/>
      <c r="I69" s="13"/>
      <c r="J69" s="13"/>
      <c r="K69" s="13"/>
    </row>
    <row r="70" spans="1:11" ht="15.75" customHeight="1" x14ac:dyDescent="0.2">
      <c r="A70" s="12"/>
      <c r="B70" s="12"/>
      <c r="C70" s="13"/>
      <c r="D70" s="13"/>
      <c r="E70" s="13"/>
      <c r="F70" s="13"/>
      <c r="G70" s="13"/>
      <c r="H70" s="13"/>
      <c r="I70" s="13"/>
      <c r="J70" s="13"/>
      <c r="K70" s="13"/>
    </row>
    <row r="71" spans="1:11" ht="15.75" customHeight="1" x14ac:dyDescent="0.2">
      <c r="A71" s="12"/>
      <c r="B71" s="12"/>
      <c r="C71" s="13"/>
      <c r="D71" s="13"/>
      <c r="E71" s="13"/>
      <c r="F71" s="13"/>
      <c r="G71" s="13"/>
      <c r="H71" s="13"/>
      <c r="I71" s="13"/>
      <c r="J71" s="13"/>
      <c r="K71" s="13"/>
    </row>
    <row r="72" spans="1:11" ht="15.75" customHeight="1" x14ac:dyDescent="0.2">
      <c r="A72" s="12"/>
      <c r="B72" s="12"/>
      <c r="C72" s="13"/>
      <c r="D72" s="13"/>
      <c r="E72" s="13"/>
      <c r="F72" s="13"/>
      <c r="G72" s="13"/>
      <c r="H72" s="13"/>
      <c r="I72" s="13"/>
      <c r="J72" s="13"/>
      <c r="K72" s="13"/>
    </row>
    <row r="73" spans="1:11" ht="15.75" customHeight="1" x14ac:dyDescent="0.2">
      <c r="A73" s="12"/>
      <c r="B73" s="12"/>
      <c r="C73" s="13"/>
      <c r="D73" s="13"/>
      <c r="E73" s="13"/>
      <c r="F73" s="13"/>
      <c r="G73" s="13"/>
      <c r="H73" s="13"/>
      <c r="I73" s="13"/>
      <c r="J73" s="13"/>
      <c r="K73" s="13"/>
    </row>
    <row r="74" spans="1:11" ht="15.75" customHeight="1" x14ac:dyDescent="0.2">
      <c r="A74" s="12"/>
      <c r="B74" s="12"/>
      <c r="C74" s="13"/>
      <c r="D74" s="13"/>
      <c r="E74" s="13"/>
      <c r="F74" s="13"/>
      <c r="G74" s="13"/>
      <c r="H74" s="13"/>
      <c r="I74" s="13"/>
      <c r="J74" s="13"/>
      <c r="K74" s="13"/>
    </row>
    <row r="75" spans="1:11" ht="15.75" customHeight="1" x14ac:dyDescent="0.2">
      <c r="A75" s="12"/>
      <c r="B75" s="12"/>
      <c r="C75" s="13"/>
      <c r="D75" s="13"/>
      <c r="E75" s="13"/>
      <c r="F75" s="13"/>
      <c r="G75" s="13"/>
      <c r="H75" s="13"/>
      <c r="I75" s="13"/>
      <c r="J75" s="13"/>
      <c r="K75" s="13"/>
    </row>
    <row r="76" spans="1:11" ht="15.75" customHeight="1" x14ac:dyDescent="0.2">
      <c r="A76" s="12"/>
      <c r="B76" s="12"/>
      <c r="C76" s="13"/>
      <c r="D76" s="13"/>
      <c r="E76" s="13"/>
      <c r="F76" s="13"/>
      <c r="G76" s="13"/>
      <c r="H76" s="13"/>
      <c r="I76" s="13"/>
      <c r="J76" s="13"/>
      <c r="K76" s="13"/>
    </row>
    <row r="77" spans="1:11" ht="15.75" customHeight="1" x14ac:dyDescent="0.2">
      <c r="A77" s="12"/>
      <c r="B77" s="12"/>
      <c r="C77" s="13"/>
      <c r="D77" s="13"/>
      <c r="E77" s="13"/>
      <c r="F77" s="13"/>
      <c r="G77" s="13"/>
      <c r="H77" s="13"/>
      <c r="I77" s="13"/>
      <c r="J77" s="13"/>
      <c r="K77" s="13"/>
    </row>
    <row r="78" spans="1:11" ht="15.75" customHeight="1" x14ac:dyDescent="0.2">
      <c r="A78" s="12"/>
      <c r="B78" s="12"/>
      <c r="C78" s="13"/>
      <c r="D78" s="13"/>
      <c r="E78" s="13"/>
      <c r="F78" s="13"/>
      <c r="G78" s="13"/>
      <c r="H78" s="13"/>
      <c r="I78" s="13"/>
      <c r="J78" s="13"/>
      <c r="K78" s="13"/>
    </row>
    <row r="79" spans="1:11" ht="15.75" customHeight="1" x14ac:dyDescent="0.2">
      <c r="A79" s="12"/>
      <c r="B79" s="12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5.75" customHeight="1" x14ac:dyDescent="0.2">
      <c r="A80" s="12"/>
      <c r="B80" s="12"/>
      <c r="C80" s="13"/>
      <c r="D80" s="13"/>
      <c r="E80" s="13"/>
      <c r="F80" s="13"/>
      <c r="G80" s="13"/>
      <c r="H80" s="13"/>
      <c r="I80" s="13"/>
      <c r="J80" s="13"/>
      <c r="K80" s="13"/>
    </row>
    <row r="81" spans="1:11" ht="15.75" customHeight="1" x14ac:dyDescent="0.2">
      <c r="A81" s="12"/>
      <c r="B81" s="12"/>
      <c r="C81" s="13"/>
      <c r="D81" s="13"/>
      <c r="E81" s="13"/>
      <c r="F81" s="13"/>
      <c r="G81" s="13"/>
      <c r="H81" s="13"/>
      <c r="I81" s="13"/>
      <c r="J81" s="13"/>
      <c r="K81" s="13"/>
    </row>
    <row r="82" spans="1:11" ht="15.75" customHeight="1" x14ac:dyDescent="0.2">
      <c r="A82" s="12"/>
      <c r="B82" s="12"/>
      <c r="C82" s="13"/>
      <c r="D82" s="13"/>
      <c r="E82" s="13"/>
      <c r="F82" s="13"/>
      <c r="G82" s="13"/>
      <c r="H82" s="13"/>
      <c r="I82" s="13"/>
      <c r="J82" s="13"/>
      <c r="K82" s="13"/>
    </row>
    <row r="83" spans="1:11" ht="15.75" customHeight="1" x14ac:dyDescent="0.2">
      <c r="A83" s="12"/>
      <c r="B83" s="12"/>
      <c r="C83" s="13"/>
      <c r="D83" s="13"/>
      <c r="E83" s="13"/>
      <c r="F83" s="13"/>
      <c r="G83" s="13"/>
      <c r="H83" s="13"/>
      <c r="I83" s="13"/>
      <c r="J83" s="13"/>
      <c r="K83" s="13"/>
    </row>
    <row r="84" spans="1:11" ht="15.75" customHeight="1" x14ac:dyDescent="0.2">
      <c r="A84" s="12"/>
      <c r="B84" s="12"/>
      <c r="C84" s="13"/>
      <c r="D84" s="13"/>
      <c r="E84" s="13"/>
      <c r="F84" s="13"/>
      <c r="G84" s="13"/>
      <c r="H84" s="13"/>
      <c r="I84" s="13"/>
      <c r="J84" s="13"/>
      <c r="K84" s="13"/>
    </row>
    <row r="85" spans="1:11" ht="15.75" customHeight="1" x14ac:dyDescent="0.2">
      <c r="A85" s="12"/>
      <c r="B85" s="12"/>
      <c r="C85" s="13"/>
      <c r="D85" s="13"/>
      <c r="E85" s="13"/>
      <c r="F85" s="13"/>
      <c r="G85" s="13"/>
      <c r="H85" s="13"/>
      <c r="I85" s="13"/>
      <c r="J85" s="13"/>
      <c r="K85" s="13"/>
    </row>
    <row r="86" spans="1:11" ht="15.75" customHeight="1" x14ac:dyDescent="0.2">
      <c r="A86" s="12"/>
      <c r="B86" s="12"/>
      <c r="C86" s="13"/>
      <c r="D86" s="13"/>
      <c r="E86" s="13"/>
      <c r="F86" s="13"/>
      <c r="G86" s="13"/>
      <c r="H86" s="13"/>
      <c r="I86" s="13"/>
      <c r="J86" s="13"/>
      <c r="K86" s="13"/>
    </row>
    <row r="87" spans="1:11" ht="15.75" customHeight="1" x14ac:dyDescent="0.2">
      <c r="A87" s="12"/>
      <c r="B87" s="12"/>
      <c r="C87" s="13"/>
      <c r="D87" s="13"/>
      <c r="E87" s="13"/>
      <c r="F87" s="13"/>
      <c r="G87" s="13"/>
      <c r="H87" s="13"/>
      <c r="I87" s="13"/>
      <c r="J87" s="13"/>
      <c r="K87" s="13"/>
    </row>
    <row r="88" spans="1:11" ht="15.75" customHeight="1" x14ac:dyDescent="0.2">
      <c r="A88" s="12"/>
      <c r="B88" s="12"/>
      <c r="C88" s="13"/>
      <c r="D88" s="13"/>
      <c r="E88" s="13"/>
      <c r="F88" s="13"/>
      <c r="G88" s="13"/>
      <c r="H88" s="13"/>
      <c r="I88" s="13"/>
      <c r="J88" s="13"/>
      <c r="K88" s="13"/>
    </row>
    <row r="89" spans="1:11" ht="15.75" customHeight="1" x14ac:dyDescent="0.2">
      <c r="A89" s="12"/>
      <c r="B89" s="12"/>
      <c r="C89" s="13"/>
      <c r="D89" s="13"/>
      <c r="E89" s="13"/>
      <c r="F89" s="13"/>
      <c r="G89" s="13"/>
      <c r="H89" s="13"/>
      <c r="I89" s="13"/>
      <c r="J89" s="13"/>
      <c r="K89" s="13"/>
    </row>
    <row r="90" spans="1:11" ht="15.75" customHeight="1" x14ac:dyDescent="0.2">
      <c r="A90" s="12"/>
      <c r="B90" s="12"/>
      <c r="C90" s="13"/>
      <c r="D90" s="13"/>
      <c r="E90" s="13"/>
      <c r="F90" s="13"/>
      <c r="G90" s="13"/>
      <c r="H90" s="13"/>
      <c r="I90" s="13"/>
      <c r="J90" s="13"/>
      <c r="K90" s="13"/>
    </row>
    <row r="91" spans="1:11" ht="15.75" customHeight="1" x14ac:dyDescent="0.2">
      <c r="A91" s="12"/>
      <c r="B91" s="12"/>
      <c r="C91" s="13"/>
      <c r="D91" s="13"/>
      <c r="E91" s="13"/>
      <c r="F91" s="13"/>
      <c r="G91" s="13"/>
      <c r="H91" s="13"/>
      <c r="I91" s="13"/>
      <c r="J91" s="13"/>
      <c r="K91" s="13"/>
    </row>
    <row r="92" spans="1:11" ht="15.75" customHeight="1" x14ac:dyDescent="0.2">
      <c r="A92" s="12"/>
      <c r="B92" s="12"/>
      <c r="C92" s="13"/>
      <c r="D92" s="13"/>
      <c r="E92" s="13"/>
      <c r="F92" s="13"/>
      <c r="G92" s="13"/>
      <c r="H92" s="13"/>
      <c r="I92" s="13"/>
      <c r="J92" s="13"/>
      <c r="K92" s="13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26</v>
      </c>
      <c r="D1" s="29"/>
      <c r="E1" s="28"/>
      <c r="F1" s="27" t="s">
        <v>27</v>
      </c>
      <c r="G1" s="29"/>
      <c r="H1" s="28"/>
      <c r="I1" s="27" t="s">
        <v>28</v>
      </c>
      <c r="J1" s="29"/>
      <c r="K1" s="28"/>
      <c r="L1" s="1" t="s">
        <v>4</v>
      </c>
      <c r="M1" s="1">
        <f>AVERAGE(C3,F3,I3)</f>
        <v>8.6666666666666661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8">
        <v>45745</v>
      </c>
      <c r="B3" s="9">
        <v>0.58333333333333337</v>
      </c>
      <c r="C3" s="10">
        <v>10</v>
      </c>
      <c r="D3" s="10">
        <v>0</v>
      </c>
      <c r="E3" s="10">
        <v>0</v>
      </c>
      <c r="F3" s="10">
        <v>8</v>
      </c>
      <c r="G3" s="10">
        <v>0</v>
      </c>
      <c r="H3" s="10">
        <v>0</v>
      </c>
      <c r="I3" s="10">
        <v>8</v>
      </c>
      <c r="J3" s="10">
        <v>0</v>
      </c>
      <c r="K3" s="10">
        <v>0</v>
      </c>
      <c r="L3" s="1">
        <f t="shared" ref="L3:L10" si="0">AVERAGE(C3,F3,I3)</f>
        <v>8.6666666666666661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8">
        <v>45745</v>
      </c>
      <c r="B4" s="9">
        <v>0.97291666666666665</v>
      </c>
      <c r="C4" s="10">
        <v>9</v>
      </c>
      <c r="D4" s="10">
        <v>0</v>
      </c>
      <c r="E4" s="10">
        <v>1</v>
      </c>
      <c r="F4" s="10">
        <v>8</v>
      </c>
      <c r="G4" s="10">
        <v>0</v>
      </c>
      <c r="H4" s="10">
        <v>0</v>
      </c>
      <c r="I4" s="10">
        <v>8</v>
      </c>
      <c r="J4" s="10">
        <v>0</v>
      </c>
      <c r="K4" s="10">
        <v>0</v>
      </c>
      <c r="L4" s="1">
        <f t="shared" si="0"/>
        <v>8.3333333333333339</v>
      </c>
      <c r="M4" s="2">
        <f>L4/M1*100</f>
        <v>96.15384615384616</v>
      </c>
      <c r="N4" s="7">
        <v>9</v>
      </c>
      <c r="O4" s="7">
        <f t="shared" ref="O4:O10" si="1">O3+TEXT(B4-B3,"h")</f>
        <v>9</v>
      </c>
    </row>
    <row r="5" spans="1:15" ht="15.75" customHeight="1" x14ac:dyDescent="0.2">
      <c r="A5" s="8">
        <v>45746</v>
      </c>
      <c r="B5" s="9">
        <v>0.41249999999999998</v>
      </c>
      <c r="C5" s="10">
        <v>7</v>
      </c>
      <c r="D5" s="10">
        <v>3</v>
      </c>
      <c r="E5" s="10">
        <v>0</v>
      </c>
      <c r="F5" s="10">
        <v>7</v>
      </c>
      <c r="G5" s="10">
        <v>1</v>
      </c>
      <c r="H5" s="10">
        <v>0</v>
      </c>
      <c r="I5" s="10">
        <v>7</v>
      </c>
      <c r="J5" s="10">
        <v>1</v>
      </c>
      <c r="K5" s="10">
        <v>0</v>
      </c>
      <c r="L5" s="1">
        <f t="shared" si="0"/>
        <v>7</v>
      </c>
      <c r="M5" s="2">
        <f>L5/M1*100</f>
        <v>80.769230769230774</v>
      </c>
      <c r="N5" s="7">
        <v>19.5</v>
      </c>
      <c r="O5" s="7" t="e">
        <f t="shared" si="1"/>
        <v>#VALUE!</v>
      </c>
    </row>
    <row r="6" spans="1:15" ht="15.75" customHeight="1" x14ac:dyDescent="0.2">
      <c r="A6" s="8">
        <v>45746</v>
      </c>
      <c r="B6" s="9">
        <v>0.63958333333333328</v>
      </c>
      <c r="C6" s="10">
        <v>5</v>
      </c>
      <c r="D6" s="10">
        <v>5</v>
      </c>
      <c r="E6" s="10">
        <v>0</v>
      </c>
      <c r="F6" s="10">
        <v>5</v>
      </c>
      <c r="G6" s="10">
        <v>3</v>
      </c>
      <c r="H6" s="10">
        <v>0</v>
      </c>
      <c r="I6" s="10">
        <v>5</v>
      </c>
      <c r="J6" s="10">
        <v>3</v>
      </c>
      <c r="K6" s="10">
        <v>0</v>
      </c>
      <c r="L6" s="1">
        <f t="shared" si="0"/>
        <v>5</v>
      </c>
      <c r="M6" s="2">
        <f>L6/M1*100</f>
        <v>57.692307692307701</v>
      </c>
      <c r="N6" s="7">
        <v>24.83</v>
      </c>
      <c r="O6" s="7" t="e">
        <f t="shared" si="1"/>
        <v>#VALUE!</v>
      </c>
    </row>
    <row r="7" spans="1:15" ht="15.75" customHeight="1" x14ac:dyDescent="0.2">
      <c r="A7" s="8">
        <v>45746</v>
      </c>
      <c r="B7" s="9">
        <v>0.96736111111111112</v>
      </c>
      <c r="C7" s="10">
        <v>0</v>
      </c>
      <c r="D7" s="10">
        <v>10</v>
      </c>
      <c r="E7" s="10">
        <v>0</v>
      </c>
      <c r="F7" s="10">
        <v>3</v>
      </c>
      <c r="G7" s="10">
        <v>5</v>
      </c>
      <c r="H7" s="10">
        <v>0</v>
      </c>
      <c r="I7" s="10">
        <v>2</v>
      </c>
      <c r="J7" s="10">
        <v>6</v>
      </c>
      <c r="K7" s="10">
        <v>0</v>
      </c>
      <c r="L7" s="1">
        <f t="shared" si="0"/>
        <v>1.6666666666666667</v>
      </c>
      <c r="M7" s="2">
        <f>L7/M1*100</f>
        <v>19.230769230769234</v>
      </c>
      <c r="N7" s="7">
        <v>32.83</v>
      </c>
      <c r="O7" s="7" t="e">
        <f t="shared" si="1"/>
        <v>#VALUE!</v>
      </c>
    </row>
    <row r="8" spans="1:15" ht="15.75" customHeight="1" x14ac:dyDescent="0.2">
      <c r="A8" s="8">
        <v>45747</v>
      </c>
      <c r="B8" s="9">
        <v>0.38611111111111113</v>
      </c>
      <c r="C8" s="10">
        <v>0</v>
      </c>
      <c r="D8" s="10">
        <v>10</v>
      </c>
      <c r="E8" s="10">
        <v>0</v>
      </c>
      <c r="F8" s="10">
        <v>2</v>
      </c>
      <c r="G8" s="10">
        <v>6</v>
      </c>
      <c r="H8" s="10">
        <v>0</v>
      </c>
      <c r="I8" s="10">
        <v>0</v>
      </c>
      <c r="J8" s="10">
        <v>8</v>
      </c>
      <c r="K8" s="10">
        <v>0</v>
      </c>
      <c r="L8" s="1">
        <f t="shared" si="0"/>
        <v>0.66666666666666663</v>
      </c>
      <c r="M8" s="2">
        <f>L8/M1*100</f>
        <v>7.6923076923076925</v>
      </c>
      <c r="N8" s="7">
        <v>42.83</v>
      </c>
      <c r="O8" s="7" t="e">
        <f t="shared" si="1"/>
        <v>#VALUE!</v>
      </c>
    </row>
    <row r="9" spans="1:15" ht="15.75" customHeight="1" x14ac:dyDescent="0.2">
      <c r="A9" s="8">
        <v>45747</v>
      </c>
      <c r="B9" s="9">
        <v>0.66319444444444442</v>
      </c>
      <c r="C9" s="10">
        <v>0</v>
      </c>
      <c r="D9" s="10">
        <v>10</v>
      </c>
      <c r="E9" s="10">
        <v>0</v>
      </c>
      <c r="F9" s="10">
        <v>0</v>
      </c>
      <c r="G9" s="10">
        <v>8</v>
      </c>
      <c r="H9" s="10">
        <v>0</v>
      </c>
      <c r="I9" s="10">
        <v>0</v>
      </c>
      <c r="J9" s="10">
        <v>8</v>
      </c>
      <c r="K9" s="10">
        <v>0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1">
        <v>45748</v>
      </c>
      <c r="B10" s="9">
        <v>6.9444444444444441E-3</v>
      </c>
      <c r="C10" s="10">
        <v>0</v>
      </c>
      <c r="D10" s="10">
        <v>10</v>
      </c>
      <c r="E10" s="10">
        <v>0</v>
      </c>
      <c r="F10" s="10">
        <v>0</v>
      </c>
      <c r="G10" s="10">
        <v>8</v>
      </c>
      <c r="H10" s="10">
        <v>0</v>
      </c>
      <c r="I10" s="10">
        <v>0</v>
      </c>
      <c r="J10" s="10">
        <v>8</v>
      </c>
      <c r="K10" s="10">
        <v>0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/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29</v>
      </c>
      <c r="D1" s="29"/>
      <c r="E1" s="28"/>
      <c r="F1" s="27" t="s">
        <v>30</v>
      </c>
      <c r="G1" s="29"/>
      <c r="H1" s="28"/>
      <c r="I1" s="27" t="s">
        <v>31</v>
      </c>
      <c r="J1" s="29"/>
      <c r="K1" s="28"/>
      <c r="L1" s="1" t="s">
        <v>4</v>
      </c>
      <c r="M1" s="1">
        <f>AVERAGE(C3,F3,I3)</f>
        <v>5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8">
        <v>45745</v>
      </c>
      <c r="B3" s="9">
        <v>0.58333333333333337</v>
      </c>
      <c r="C3" s="10">
        <v>5</v>
      </c>
      <c r="D3" s="10">
        <v>0</v>
      </c>
      <c r="E3" s="10">
        <v>0</v>
      </c>
      <c r="F3" s="10" t="s">
        <v>32</v>
      </c>
      <c r="G3" s="10" t="s">
        <v>32</v>
      </c>
      <c r="H3" s="10" t="s">
        <v>32</v>
      </c>
      <c r="I3" s="10" t="s">
        <v>32</v>
      </c>
      <c r="J3" s="10" t="s">
        <v>32</v>
      </c>
      <c r="K3" s="10" t="s">
        <v>32</v>
      </c>
      <c r="L3" s="1">
        <f t="shared" ref="L3:L10" si="0">AVERAGE(C3,F3,I3)</f>
        <v>5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8">
        <v>45745</v>
      </c>
      <c r="B4" s="9">
        <v>0.97569444444444442</v>
      </c>
      <c r="C4" s="10">
        <v>5</v>
      </c>
      <c r="D4" s="10">
        <v>0</v>
      </c>
      <c r="E4" s="10">
        <v>0</v>
      </c>
      <c r="F4" s="10" t="s">
        <v>32</v>
      </c>
      <c r="G4" s="10" t="s">
        <v>32</v>
      </c>
      <c r="H4" s="10" t="s">
        <v>32</v>
      </c>
      <c r="I4" s="10" t="s">
        <v>32</v>
      </c>
      <c r="J4" s="10" t="s">
        <v>32</v>
      </c>
      <c r="K4" s="10" t="s">
        <v>32</v>
      </c>
      <c r="L4" s="1">
        <f t="shared" si="0"/>
        <v>5</v>
      </c>
      <c r="M4" s="2">
        <f>L4/M1*100</f>
        <v>100</v>
      </c>
      <c r="N4" s="7">
        <v>9</v>
      </c>
      <c r="O4" s="7">
        <f t="shared" ref="O4:O10" si="1">O3+TEXT(B4-B3,"h")</f>
        <v>9</v>
      </c>
    </row>
    <row r="5" spans="1:15" ht="15.75" customHeight="1" x14ac:dyDescent="0.2">
      <c r="A5" s="8">
        <v>45746</v>
      </c>
      <c r="B5" s="9">
        <v>0.41597222222222224</v>
      </c>
      <c r="C5" s="10">
        <v>5</v>
      </c>
      <c r="D5" s="10">
        <v>0</v>
      </c>
      <c r="E5" s="10">
        <v>0</v>
      </c>
      <c r="F5" s="10" t="s">
        <v>32</v>
      </c>
      <c r="G5" s="10" t="s">
        <v>32</v>
      </c>
      <c r="H5" s="10" t="s">
        <v>32</v>
      </c>
      <c r="I5" s="10" t="s">
        <v>32</v>
      </c>
      <c r="J5" s="10" t="s">
        <v>32</v>
      </c>
      <c r="K5" s="10" t="s">
        <v>32</v>
      </c>
      <c r="L5" s="1">
        <f t="shared" si="0"/>
        <v>5</v>
      </c>
      <c r="M5" s="2">
        <f>L5/M1*100</f>
        <v>100</v>
      </c>
      <c r="N5" s="7">
        <v>19.5</v>
      </c>
      <c r="O5" s="7" t="e">
        <f t="shared" si="1"/>
        <v>#VALUE!</v>
      </c>
    </row>
    <row r="6" spans="1:15" ht="15.75" customHeight="1" x14ac:dyDescent="0.2">
      <c r="A6" s="8">
        <v>45746</v>
      </c>
      <c r="B6" s="9">
        <v>0.6479166666666667</v>
      </c>
      <c r="C6" s="10">
        <v>3</v>
      </c>
      <c r="D6" s="10">
        <v>2</v>
      </c>
      <c r="E6" s="10">
        <v>0</v>
      </c>
      <c r="F6" s="10" t="s">
        <v>32</v>
      </c>
      <c r="G6" s="10" t="s">
        <v>32</v>
      </c>
      <c r="H6" s="10" t="s">
        <v>32</v>
      </c>
      <c r="I6" s="10" t="s">
        <v>32</v>
      </c>
      <c r="J6" s="10" t="s">
        <v>32</v>
      </c>
      <c r="K6" s="10" t="s">
        <v>32</v>
      </c>
      <c r="L6" s="1">
        <f t="shared" si="0"/>
        <v>3</v>
      </c>
      <c r="M6" s="2">
        <f>L6/M1*100</f>
        <v>60</v>
      </c>
      <c r="N6" s="7">
        <v>24.83</v>
      </c>
      <c r="O6" s="7" t="e">
        <f t="shared" si="1"/>
        <v>#VALUE!</v>
      </c>
    </row>
    <row r="7" spans="1:15" ht="15.75" customHeight="1" x14ac:dyDescent="0.2">
      <c r="A7" s="8">
        <v>45746</v>
      </c>
      <c r="B7" s="9">
        <v>0.97222222222222221</v>
      </c>
      <c r="C7" s="10">
        <v>1</v>
      </c>
      <c r="D7" s="10">
        <v>4</v>
      </c>
      <c r="E7" s="10">
        <v>0</v>
      </c>
      <c r="F7" s="10" t="s">
        <v>32</v>
      </c>
      <c r="G7" s="10" t="s">
        <v>32</v>
      </c>
      <c r="H7" s="10" t="s">
        <v>32</v>
      </c>
      <c r="I7" s="10" t="s">
        <v>32</v>
      </c>
      <c r="J7" s="10" t="s">
        <v>32</v>
      </c>
      <c r="K7" s="10" t="s">
        <v>32</v>
      </c>
      <c r="L7" s="1">
        <f t="shared" si="0"/>
        <v>1</v>
      </c>
      <c r="M7" s="2">
        <f>L7/M1*100</f>
        <v>20</v>
      </c>
      <c r="N7" s="7">
        <v>32.83</v>
      </c>
      <c r="O7" s="7" t="e">
        <f t="shared" si="1"/>
        <v>#VALUE!</v>
      </c>
    </row>
    <row r="8" spans="1:15" ht="15.75" customHeight="1" x14ac:dyDescent="0.2">
      <c r="A8" s="8">
        <v>45747</v>
      </c>
      <c r="B8" s="9">
        <v>0.39027777777777778</v>
      </c>
      <c r="C8" s="10">
        <v>0</v>
      </c>
      <c r="D8" s="10">
        <v>5</v>
      </c>
      <c r="E8" s="10">
        <v>0</v>
      </c>
      <c r="F8" s="10" t="s">
        <v>32</v>
      </c>
      <c r="G8" s="10" t="s">
        <v>32</v>
      </c>
      <c r="H8" s="10" t="s">
        <v>32</v>
      </c>
      <c r="I8" s="10" t="s">
        <v>32</v>
      </c>
      <c r="J8" s="10" t="s">
        <v>32</v>
      </c>
      <c r="K8" s="10" t="s">
        <v>32</v>
      </c>
      <c r="L8" s="1">
        <f t="shared" si="0"/>
        <v>0</v>
      </c>
      <c r="M8" s="2">
        <f>L8/M1*100</f>
        <v>0</v>
      </c>
      <c r="N8" s="7">
        <v>42.83</v>
      </c>
      <c r="O8" s="7" t="e">
        <f t="shared" si="1"/>
        <v>#VALUE!</v>
      </c>
    </row>
    <row r="9" spans="1:15" ht="15.75" customHeight="1" x14ac:dyDescent="0.2">
      <c r="A9" s="8">
        <v>45747</v>
      </c>
      <c r="B9" s="9">
        <v>0.66319444444444442</v>
      </c>
      <c r="C9" s="10">
        <v>0</v>
      </c>
      <c r="D9" s="10">
        <v>5</v>
      </c>
      <c r="E9" s="10">
        <v>0</v>
      </c>
      <c r="F9" s="10" t="s">
        <v>32</v>
      </c>
      <c r="G9" s="10" t="s">
        <v>32</v>
      </c>
      <c r="H9" s="10" t="s">
        <v>32</v>
      </c>
      <c r="I9" s="10" t="s">
        <v>32</v>
      </c>
      <c r="J9" s="10" t="s">
        <v>32</v>
      </c>
      <c r="K9" s="10" t="s">
        <v>32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1">
        <v>45748</v>
      </c>
      <c r="B10" s="9">
        <v>6.9444444444444441E-3</v>
      </c>
      <c r="C10" s="10">
        <v>0</v>
      </c>
      <c r="D10" s="10">
        <v>5</v>
      </c>
      <c r="E10" s="10">
        <v>0</v>
      </c>
      <c r="F10" s="10" t="s">
        <v>32</v>
      </c>
      <c r="G10" s="10" t="s">
        <v>32</v>
      </c>
      <c r="H10" s="10" t="s">
        <v>32</v>
      </c>
      <c r="I10" s="10" t="s">
        <v>32</v>
      </c>
      <c r="J10" s="10" t="s">
        <v>32</v>
      </c>
      <c r="K10" s="10" t="s">
        <v>32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/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33</v>
      </c>
      <c r="D1" s="29"/>
      <c r="E1" s="28"/>
      <c r="F1" s="27" t="s">
        <v>34</v>
      </c>
      <c r="G1" s="29"/>
      <c r="H1" s="28"/>
      <c r="I1" s="27" t="s">
        <v>35</v>
      </c>
      <c r="J1" s="29"/>
      <c r="K1" s="28"/>
      <c r="L1" s="1" t="s">
        <v>4</v>
      </c>
      <c r="M1" s="1">
        <f>AVERAGE(C3,F3,I3)</f>
        <v>4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8">
        <v>45745</v>
      </c>
      <c r="B3" s="9">
        <v>0.58333333333333337</v>
      </c>
      <c r="C3" s="10">
        <v>5</v>
      </c>
      <c r="D3" s="10">
        <v>0</v>
      </c>
      <c r="E3" s="10">
        <v>0</v>
      </c>
      <c r="F3" s="10">
        <v>3</v>
      </c>
      <c r="G3" s="10">
        <v>0</v>
      </c>
      <c r="H3" s="10">
        <v>0</v>
      </c>
      <c r="I3" s="10" t="s">
        <v>32</v>
      </c>
      <c r="J3" s="10" t="s">
        <v>32</v>
      </c>
      <c r="K3" s="10" t="s">
        <v>32</v>
      </c>
      <c r="L3" s="1">
        <f t="shared" ref="L3:L10" si="0">AVERAGE(C3,F3,I3)</f>
        <v>4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8">
        <v>45745</v>
      </c>
      <c r="B4" s="9">
        <v>0.9770833333333333</v>
      </c>
      <c r="C4" s="10">
        <v>5</v>
      </c>
      <c r="D4" s="10">
        <v>0</v>
      </c>
      <c r="E4" s="10">
        <v>0</v>
      </c>
      <c r="F4" s="10">
        <v>3</v>
      </c>
      <c r="G4" s="10">
        <v>0</v>
      </c>
      <c r="H4" s="10">
        <v>0</v>
      </c>
      <c r="I4" s="10" t="s">
        <v>32</v>
      </c>
      <c r="J4" s="10" t="s">
        <v>32</v>
      </c>
      <c r="K4" s="10" t="s">
        <v>32</v>
      </c>
      <c r="L4" s="1">
        <f t="shared" si="0"/>
        <v>4</v>
      </c>
      <c r="M4" s="2">
        <f>L4/M1*100</f>
        <v>100</v>
      </c>
      <c r="N4" s="7">
        <v>9</v>
      </c>
      <c r="O4" s="7">
        <f t="shared" ref="O4:O10" si="1">O3+TEXT(B4-B3,"h")</f>
        <v>9</v>
      </c>
    </row>
    <row r="5" spans="1:15" ht="15.75" customHeight="1" x14ac:dyDescent="0.2">
      <c r="A5" s="8">
        <v>45746</v>
      </c>
      <c r="B5" s="9">
        <v>0.41736111111111113</v>
      </c>
      <c r="C5" s="10">
        <v>5</v>
      </c>
      <c r="D5" s="10">
        <v>0</v>
      </c>
      <c r="E5" s="10">
        <v>0</v>
      </c>
      <c r="F5" s="10">
        <v>3</v>
      </c>
      <c r="G5" s="10">
        <v>0</v>
      </c>
      <c r="H5" s="10">
        <v>0</v>
      </c>
      <c r="I5" s="10" t="s">
        <v>32</v>
      </c>
      <c r="J5" s="10" t="s">
        <v>32</v>
      </c>
      <c r="K5" s="10" t="s">
        <v>32</v>
      </c>
      <c r="L5" s="1">
        <f t="shared" si="0"/>
        <v>4</v>
      </c>
      <c r="M5" s="2">
        <f>L5/M1*100</f>
        <v>100</v>
      </c>
      <c r="N5" s="7">
        <v>19.5</v>
      </c>
      <c r="O5" s="7" t="e">
        <f t="shared" si="1"/>
        <v>#VALUE!</v>
      </c>
    </row>
    <row r="6" spans="1:15" ht="15.75" customHeight="1" x14ac:dyDescent="0.2">
      <c r="A6" s="8">
        <v>45746</v>
      </c>
      <c r="B6" s="9">
        <v>0.64930555555555558</v>
      </c>
      <c r="C6" s="10">
        <v>3</v>
      </c>
      <c r="D6" s="10">
        <v>2</v>
      </c>
      <c r="E6" s="10">
        <v>0</v>
      </c>
      <c r="F6" s="10">
        <v>2</v>
      </c>
      <c r="G6" s="10">
        <v>1</v>
      </c>
      <c r="H6" s="10">
        <v>0</v>
      </c>
      <c r="I6" s="10" t="s">
        <v>32</v>
      </c>
      <c r="J6" s="10" t="s">
        <v>32</v>
      </c>
      <c r="K6" s="10" t="s">
        <v>32</v>
      </c>
      <c r="L6" s="1">
        <f t="shared" si="0"/>
        <v>2.5</v>
      </c>
      <c r="M6" s="2">
        <f>L6/M1*100</f>
        <v>62.5</v>
      </c>
      <c r="N6" s="7">
        <v>24.83</v>
      </c>
      <c r="O6" s="7" t="e">
        <f t="shared" si="1"/>
        <v>#VALUE!</v>
      </c>
    </row>
    <row r="7" spans="1:15" ht="15.75" customHeight="1" x14ac:dyDescent="0.2">
      <c r="A7" s="8">
        <v>45746</v>
      </c>
      <c r="B7" s="9">
        <v>0.97361111111111109</v>
      </c>
      <c r="C7" s="10">
        <v>2</v>
      </c>
      <c r="D7" s="10">
        <v>3</v>
      </c>
      <c r="E7" s="10">
        <v>0</v>
      </c>
      <c r="F7" s="10">
        <v>2</v>
      </c>
      <c r="G7" s="10">
        <v>1</v>
      </c>
      <c r="H7" s="10">
        <v>0</v>
      </c>
      <c r="I7" s="10" t="s">
        <v>32</v>
      </c>
      <c r="J7" s="10" t="s">
        <v>32</v>
      </c>
      <c r="K7" s="10" t="s">
        <v>32</v>
      </c>
      <c r="L7" s="1">
        <f t="shared" si="0"/>
        <v>2</v>
      </c>
      <c r="M7" s="2">
        <f>L7/M1*100</f>
        <v>50</v>
      </c>
      <c r="N7" s="7">
        <v>32.83</v>
      </c>
      <c r="O7" s="7" t="e">
        <f t="shared" si="1"/>
        <v>#VALUE!</v>
      </c>
    </row>
    <row r="8" spans="1:15" ht="15.75" customHeight="1" x14ac:dyDescent="0.2">
      <c r="A8" s="8">
        <v>45747</v>
      </c>
      <c r="B8" s="9">
        <v>0.39166666666666666</v>
      </c>
      <c r="C8" s="10">
        <v>0</v>
      </c>
      <c r="D8" s="10">
        <v>5</v>
      </c>
      <c r="E8" s="10">
        <v>0</v>
      </c>
      <c r="F8" s="10">
        <v>1</v>
      </c>
      <c r="G8" s="10">
        <v>2</v>
      </c>
      <c r="H8" s="10">
        <v>0</v>
      </c>
      <c r="I8" s="10" t="s">
        <v>32</v>
      </c>
      <c r="J8" s="10" t="s">
        <v>32</v>
      </c>
      <c r="K8" s="10" t="s">
        <v>32</v>
      </c>
      <c r="L8" s="1">
        <f t="shared" si="0"/>
        <v>0.5</v>
      </c>
      <c r="M8" s="2">
        <f>L8/M1*100</f>
        <v>12.5</v>
      </c>
      <c r="N8" s="7">
        <v>42.83</v>
      </c>
      <c r="O8" s="7" t="e">
        <f t="shared" si="1"/>
        <v>#VALUE!</v>
      </c>
    </row>
    <row r="9" spans="1:15" ht="15.75" customHeight="1" x14ac:dyDescent="0.2">
      <c r="A9" s="8">
        <v>45747</v>
      </c>
      <c r="B9" s="9">
        <v>0.66388888888888886</v>
      </c>
      <c r="C9" s="10">
        <v>0</v>
      </c>
      <c r="D9" s="10">
        <v>5</v>
      </c>
      <c r="E9" s="10">
        <v>0</v>
      </c>
      <c r="F9" s="10">
        <v>0</v>
      </c>
      <c r="G9" s="10">
        <v>3</v>
      </c>
      <c r="H9" s="10">
        <v>0</v>
      </c>
      <c r="I9" s="10" t="s">
        <v>32</v>
      </c>
      <c r="J9" s="10" t="s">
        <v>32</v>
      </c>
      <c r="K9" s="10" t="s">
        <v>32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1">
        <v>45748</v>
      </c>
      <c r="B10" s="9">
        <v>6.9444444444444441E-3</v>
      </c>
      <c r="C10" s="10">
        <v>0</v>
      </c>
      <c r="D10" s="10">
        <v>5</v>
      </c>
      <c r="E10" s="10">
        <v>0</v>
      </c>
      <c r="F10" s="10">
        <v>0</v>
      </c>
      <c r="G10" s="10">
        <v>3</v>
      </c>
      <c r="H10" s="10">
        <v>0</v>
      </c>
      <c r="I10" s="10" t="s">
        <v>32</v>
      </c>
      <c r="J10" s="10" t="s">
        <v>32</v>
      </c>
      <c r="K10" s="10" t="s">
        <v>32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/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36</v>
      </c>
      <c r="D1" s="29"/>
      <c r="E1" s="28"/>
      <c r="F1" s="27" t="s">
        <v>37</v>
      </c>
      <c r="G1" s="29"/>
      <c r="H1" s="28"/>
      <c r="I1" s="27" t="s">
        <v>38</v>
      </c>
      <c r="J1" s="29"/>
      <c r="K1" s="28"/>
      <c r="L1" s="1" t="s">
        <v>4</v>
      </c>
      <c r="M1" s="1">
        <f>AVERAGE(C3,F3,I3)</f>
        <v>16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8">
        <v>45745</v>
      </c>
      <c r="B3" s="9">
        <v>0.58333333333333337</v>
      </c>
      <c r="C3" s="10">
        <v>15</v>
      </c>
      <c r="D3" s="10">
        <v>0</v>
      </c>
      <c r="E3" s="10">
        <v>0</v>
      </c>
      <c r="F3" s="10">
        <v>9</v>
      </c>
      <c r="G3" s="10">
        <v>0</v>
      </c>
      <c r="H3" s="10">
        <v>0</v>
      </c>
      <c r="I3" s="10">
        <v>24</v>
      </c>
      <c r="J3" s="10">
        <v>0</v>
      </c>
      <c r="K3" s="10">
        <v>0</v>
      </c>
      <c r="L3" s="1">
        <f t="shared" ref="L3:L10" si="0">AVERAGE(C3,F3,I3)</f>
        <v>16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8">
        <v>45745</v>
      </c>
      <c r="B4" s="9">
        <v>0.97916666666666663</v>
      </c>
      <c r="C4" s="10">
        <v>15</v>
      </c>
      <c r="D4" s="10">
        <v>0</v>
      </c>
      <c r="E4" s="10">
        <v>0</v>
      </c>
      <c r="F4" s="10">
        <v>6</v>
      </c>
      <c r="G4" s="10">
        <v>1</v>
      </c>
      <c r="H4" s="10">
        <v>2</v>
      </c>
      <c r="I4" s="10">
        <v>21</v>
      </c>
      <c r="J4" s="10">
        <v>0</v>
      </c>
      <c r="K4" s="10">
        <v>3</v>
      </c>
      <c r="L4" s="1">
        <f t="shared" si="0"/>
        <v>14</v>
      </c>
      <c r="M4" s="2">
        <f>L4/M1*100</f>
        <v>87.5</v>
      </c>
      <c r="N4" s="7">
        <v>9</v>
      </c>
      <c r="O4" s="7">
        <f t="shared" ref="O4:O10" si="1">O3+TEXT(B4-B3,"h")</f>
        <v>9</v>
      </c>
    </row>
    <row r="5" spans="1:15" ht="15.75" customHeight="1" x14ac:dyDescent="0.2">
      <c r="A5" s="8">
        <v>45746</v>
      </c>
      <c r="B5" s="9">
        <v>0.41944444444444445</v>
      </c>
      <c r="C5" s="10">
        <v>15</v>
      </c>
      <c r="D5" s="10">
        <v>0</v>
      </c>
      <c r="E5" s="10">
        <v>0</v>
      </c>
      <c r="F5" s="10">
        <v>6</v>
      </c>
      <c r="G5" s="10">
        <v>1</v>
      </c>
      <c r="H5" s="10">
        <v>2</v>
      </c>
      <c r="I5" s="10">
        <v>20</v>
      </c>
      <c r="J5" s="10">
        <v>1</v>
      </c>
      <c r="K5" s="10">
        <v>3</v>
      </c>
      <c r="L5" s="1">
        <f t="shared" si="0"/>
        <v>13.666666666666666</v>
      </c>
      <c r="M5" s="2">
        <f>L5/M1*100</f>
        <v>85.416666666666657</v>
      </c>
      <c r="N5" s="7">
        <v>19.5</v>
      </c>
      <c r="O5" s="7" t="e">
        <f t="shared" si="1"/>
        <v>#VALUE!</v>
      </c>
    </row>
    <row r="6" spans="1:15" ht="15.75" customHeight="1" x14ac:dyDescent="0.2">
      <c r="A6" s="8">
        <v>45746</v>
      </c>
      <c r="B6" s="9">
        <v>0.65416666666666667</v>
      </c>
      <c r="C6" s="10">
        <v>11</v>
      </c>
      <c r="D6" s="10">
        <v>4</v>
      </c>
      <c r="E6" s="10">
        <v>0</v>
      </c>
      <c r="F6" s="10">
        <v>4</v>
      </c>
      <c r="G6" s="10">
        <v>3</v>
      </c>
      <c r="H6" s="10">
        <v>2</v>
      </c>
      <c r="I6" s="10">
        <v>10</v>
      </c>
      <c r="J6" s="10">
        <v>9</v>
      </c>
      <c r="K6" s="10">
        <v>5</v>
      </c>
      <c r="L6" s="1">
        <f t="shared" si="0"/>
        <v>8.3333333333333339</v>
      </c>
      <c r="M6" s="2">
        <f>L6/M1*100</f>
        <v>52.083333333333336</v>
      </c>
      <c r="N6" s="7">
        <v>24.83</v>
      </c>
      <c r="O6" s="7" t="e">
        <f t="shared" si="1"/>
        <v>#VALUE!</v>
      </c>
    </row>
    <row r="7" spans="1:15" ht="15.75" customHeight="1" x14ac:dyDescent="0.2">
      <c r="A7" s="8">
        <v>45746</v>
      </c>
      <c r="B7" s="9">
        <v>0.97777777777777775</v>
      </c>
      <c r="C7" s="10">
        <v>3</v>
      </c>
      <c r="D7" s="10">
        <v>12</v>
      </c>
      <c r="E7" s="10">
        <v>0</v>
      </c>
      <c r="F7" s="10">
        <v>3</v>
      </c>
      <c r="G7" s="10">
        <v>4</v>
      </c>
      <c r="H7" s="10">
        <v>2</v>
      </c>
      <c r="I7" s="10">
        <v>3</v>
      </c>
      <c r="J7" s="10">
        <v>16</v>
      </c>
      <c r="K7" s="10">
        <v>5</v>
      </c>
      <c r="L7" s="1">
        <f t="shared" si="0"/>
        <v>3</v>
      </c>
      <c r="M7" s="2">
        <f>L7/M1*100</f>
        <v>18.75</v>
      </c>
      <c r="N7" s="7">
        <v>32.83</v>
      </c>
      <c r="O7" s="7" t="e">
        <f t="shared" si="1"/>
        <v>#VALUE!</v>
      </c>
    </row>
    <row r="8" spans="1:15" ht="15.75" customHeight="1" x14ac:dyDescent="0.2">
      <c r="A8" s="8">
        <v>45747</v>
      </c>
      <c r="B8" s="9">
        <v>0.39513888888888887</v>
      </c>
      <c r="C8" s="10">
        <v>1</v>
      </c>
      <c r="D8" s="10">
        <v>14</v>
      </c>
      <c r="E8" s="10">
        <v>0</v>
      </c>
      <c r="F8" s="10">
        <v>0</v>
      </c>
      <c r="G8" s="10">
        <v>9</v>
      </c>
      <c r="H8" s="10">
        <v>0</v>
      </c>
      <c r="I8" s="10">
        <v>0</v>
      </c>
      <c r="J8" s="10">
        <v>24</v>
      </c>
      <c r="K8" s="10">
        <v>0</v>
      </c>
      <c r="L8" s="1">
        <f t="shared" si="0"/>
        <v>0.33333333333333331</v>
      </c>
      <c r="M8" s="2">
        <f>L8/M1*100</f>
        <v>2.083333333333333</v>
      </c>
      <c r="N8" s="7">
        <v>42.83</v>
      </c>
      <c r="O8" s="7" t="e">
        <f t="shared" si="1"/>
        <v>#VALUE!</v>
      </c>
    </row>
    <row r="9" spans="1:15" ht="15.75" customHeight="1" x14ac:dyDescent="0.2">
      <c r="A9" s="8">
        <v>45747</v>
      </c>
      <c r="B9" s="9">
        <v>0.6645833333333333</v>
      </c>
      <c r="C9" s="10">
        <v>0</v>
      </c>
      <c r="D9" s="10">
        <v>15</v>
      </c>
      <c r="E9" s="10">
        <v>0</v>
      </c>
      <c r="F9" s="10">
        <v>0</v>
      </c>
      <c r="G9" s="10">
        <v>9</v>
      </c>
      <c r="H9" s="10">
        <v>0</v>
      </c>
      <c r="I9" s="10">
        <v>0</v>
      </c>
      <c r="J9" s="10">
        <v>24</v>
      </c>
      <c r="K9" s="10">
        <v>0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1">
        <v>45748</v>
      </c>
      <c r="B10" s="9">
        <v>6.9444444444444441E-3</v>
      </c>
      <c r="C10" s="10">
        <v>0</v>
      </c>
      <c r="D10" s="10">
        <v>15</v>
      </c>
      <c r="E10" s="10">
        <v>0</v>
      </c>
      <c r="F10" s="10">
        <v>0</v>
      </c>
      <c r="G10" s="10">
        <v>9</v>
      </c>
      <c r="H10" s="10">
        <v>0</v>
      </c>
      <c r="I10" s="10">
        <v>0</v>
      </c>
      <c r="J10" s="10">
        <v>24</v>
      </c>
      <c r="K10" s="10">
        <v>0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/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39</v>
      </c>
      <c r="D1" s="29"/>
      <c r="E1" s="28"/>
      <c r="F1" s="27" t="s">
        <v>40</v>
      </c>
      <c r="G1" s="29"/>
      <c r="H1" s="28"/>
      <c r="I1" s="27" t="s">
        <v>41</v>
      </c>
      <c r="J1" s="29"/>
      <c r="K1" s="28"/>
      <c r="L1" s="1" t="s">
        <v>4</v>
      </c>
      <c r="M1" s="1">
        <f>AVERAGE(C3,F3,I3)</f>
        <v>17.333333333333332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8">
        <v>45745</v>
      </c>
      <c r="B3" s="9">
        <v>0.58333333333333337</v>
      </c>
      <c r="C3" s="10">
        <v>15</v>
      </c>
      <c r="D3" s="10">
        <v>0</v>
      </c>
      <c r="E3" s="10">
        <v>0</v>
      </c>
      <c r="F3" s="10">
        <v>16</v>
      </c>
      <c r="G3" s="10">
        <v>0</v>
      </c>
      <c r="H3" s="10">
        <v>0</v>
      </c>
      <c r="I3" s="10">
        <v>21</v>
      </c>
      <c r="J3" s="10">
        <v>0</v>
      </c>
      <c r="K3" s="10">
        <v>0</v>
      </c>
      <c r="L3" s="1">
        <f t="shared" ref="L3:L10" si="0">AVERAGE(C3,F3,I3)</f>
        <v>17.333333333333332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8">
        <v>45745</v>
      </c>
      <c r="B4" s="9">
        <v>0.98819444444444449</v>
      </c>
      <c r="C4" s="10">
        <v>13</v>
      </c>
      <c r="D4" s="10">
        <v>1</v>
      </c>
      <c r="E4" s="10">
        <v>1</v>
      </c>
      <c r="F4" s="10">
        <v>16</v>
      </c>
      <c r="G4" s="10">
        <v>0</v>
      </c>
      <c r="H4" s="10">
        <v>0</v>
      </c>
      <c r="I4" s="10">
        <v>18</v>
      </c>
      <c r="J4" s="10">
        <v>0</v>
      </c>
      <c r="K4" s="10">
        <v>3</v>
      </c>
      <c r="L4" s="1">
        <f t="shared" si="0"/>
        <v>15.666666666666666</v>
      </c>
      <c r="M4" s="2">
        <f>L4/M1*100</f>
        <v>90.384615384615387</v>
      </c>
      <c r="N4" s="7">
        <v>9</v>
      </c>
      <c r="O4" s="7">
        <f t="shared" ref="O4:O10" si="1">O3+TEXT(B4-B3,"h")</f>
        <v>9</v>
      </c>
    </row>
    <row r="5" spans="1:15" ht="15.75" customHeight="1" x14ac:dyDescent="0.2">
      <c r="A5" s="8">
        <v>45746</v>
      </c>
      <c r="B5" s="9">
        <v>0.42499999999999999</v>
      </c>
      <c r="C5" s="10">
        <v>12</v>
      </c>
      <c r="D5" s="10">
        <v>2</v>
      </c>
      <c r="E5" s="10">
        <v>1</v>
      </c>
      <c r="F5" s="10">
        <v>12</v>
      </c>
      <c r="G5" s="10">
        <v>4</v>
      </c>
      <c r="H5" s="10">
        <v>0</v>
      </c>
      <c r="I5" s="10">
        <v>19</v>
      </c>
      <c r="J5" s="10">
        <v>0</v>
      </c>
      <c r="K5" s="10">
        <v>2</v>
      </c>
      <c r="L5" s="1">
        <f t="shared" si="0"/>
        <v>14.333333333333334</v>
      </c>
      <c r="M5" s="2">
        <f>L5/M1*100</f>
        <v>82.692307692307693</v>
      </c>
      <c r="N5" s="7">
        <v>19.5</v>
      </c>
      <c r="O5" s="7" t="e">
        <f t="shared" si="1"/>
        <v>#VALUE!</v>
      </c>
    </row>
    <row r="6" spans="1:15" ht="15.75" customHeight="1" x14ac:dyDescent="0.2">
      <c r="A6" s="8">
        <v>45746</v>
      </c>
      <c r="B6" s="9">
        <v>0.66249999999999998</v>
      </c>
      <c r="C6" s="10">
        <v>10</v>
      </c>
      <c r="D6" s="10">
        <v>4</v>
      </c>
      <c r="E6" s="10">
        <v>1</v>
      </c>
      <c r="F6" s="10">
        <v>2</v>
      </c>
      <c r="G6" s="10">
        <v>14</v>
      </c>
      <c r="H6" s="10">
        <v>0</v>
      </c>
      <c r="I6" s="10">
        <v>15</v>
      </c>
      <c r="J6" s="10">
        <v>4</v>
      </c>
      <c r="K6" s="10">
        <v>2</v>
      </c>
      <c r="L6" s="1">
        <f t="shared" si="0"/>
        <v>9</v>
      </c>
      <c r="M6" s="2">
        <f>L6/M1*100</f>
        <v>51.923076923076927</v>
      </c>
      <c r="N6" s="7">
        <v>24.83</v>
      </c>
      <c r="O6" s="7" t="e">
        <f t="shared" si="1"/>
        <v>#VALUE!</v>
      </c>
    </row>
    <row r="7" spans="1:15" ht="15.75" customHeight="1" x14ac:dyDescent="0.2">
      <c r="A7" s="8">
        <v>45746</v>
      </c>
      <c r="B7" s="9">
        <v>0.98472222222222228</v>
      </c>
      <c r="C7" s="10">
        <v>2</v>
      </c>
      <c r="D7" s="10">
        <v>12</v>
      </c>
      <c r="E7" s="10">
        <v>1</v>
      </c>
      <c r="F7" s="10">
        <v>0</v>
      </c>
      <c r="G7" s="10">
        <v>16</v>
      </c>
      <c r="H7" s="10">
        <v>0</v>
      </c>
      <c r="I7" s="10">
        <v>8</v>
      </c>
      <c r="J7" s="10">
        <v>11</v>
      </c>
      <c r="K7" s="10">
        <v>2</v>
      </c>
      <c r="L7" s="1">
        <f t="shared" si="0"/>
        <v>3.3333333333333335</v>
      </c>
      <c r="M7" s="2">
        <f>L7/M1*100</f>
        <v>19.230769230769234</v>
      </c>
      <c r="N7" s="7">
        <v>32.83</v>
      </c>
      <c r="O7" s="7" t="e">
        <f t="shared" si="1"/>
        <v>#VALUE!</v>
      </c>
    </row>
    <row r="8" spans="1:15" ht="15.75" customHeight="1" x14ac:dyDescent="0.2">
      <c r="A8" s="8">
        <v>45747</v>
      </c>
      <c r="B8" s="9">
        <v>0.40486111111111112</v>
      </c>
      <c r="C8" s="10">
        <v>0</v>
      </c>
      <c r="D8" s="10">
        <v>15</v>
      </c>
      <c r="E8" s="10">
        <v>0</v>
      </c>
      <c r="F8" s="10">
        <v>0</v>
      </c>
      <c r="G8" s="10">
        <v>16</v>
      </c>
      <c r="H8" s="10">
        <v>0</v>
      </c>
      <c r="I8" s="10">
        <v>1</v>
      </c>
      <c r="J8" s="10">
        <v>19</v>
      </c>
      <c r="K8" s="10">
        <v>1</v>
      </c>
      <c r="L8" s="1">
        <f t="shared" si="0"/>
        <v>0.33333333333333331</v>
      </c>
      <c r="M8" s="2">
        <f>L8/M1*100</f>
        <v>1.9230769230769231</v>
      </c>
      <c r="N8" s="7">
        <v>42.83</v>
      </c>
      <c r="O8" s="7" t="e">
        <f t="shared" si="1"/>
        <v>#VALUE!</v>
      </c>
    </row>
    <row r="9" spans="1:15" ht="15.75" customHeight="1" x14ac:dyDescent="0.2">
      <c r="A9" s="8">
        <v>45747</v>
      </c>
      <c r="B9" s="9">
        <v>0.66527777777777775</v>
      </c>
      <c r="C9" s="10">
        <v>0</v>
      </c>
      <c r="D9" s="10">
        <v>15</v>
      </c>
      <c r="E9" s="10">
        <v>0</v>
      </c>
      <c r="F9" s="10">
        <v>0</v>
      </c>
      <c r="G9" s="10">
        <v>16</v>
      </c>
      <c r="H9" s="10">
        <v>0</v>
      </c>
      <c r="I9" s="10">
        <v>0</v>
      </c>
      <c r="J9" s="10">
        <v>20</v>
      </c>
      <c r="K9" s="10">
        <v>1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1">
        <v>45748</v>
      </c>
      <c r="B10" s="9">
        <v>8.3333333333333332E-3</v>
      </c>
      <c r="C10" s="10">
        <v>0</v>
      </c>
      <c r="D10" s="10">
        <v>15</v>
      </c>
      <c r="E10" s="10">
        <v>0</v>
      </c>
      <c r="F10" s="10">
        <v>0</v>
      </c>
      <c r="G10" s="10">
        <v>16</v>
      </c>
      <c r="H10" s="10">
        <v>0</v>
      </c>
      <c r="I10" s="10">
        <v>0</v>
      </c>
      <c r="J10" s="10">
        <v>20</v>
      </c>
      <c r="K10" s="10">
        <v>1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 t="s">
        <v>15</v>
      </c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 t="s">
        <v>42</v>
      </c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  <col min="12" max="12" width="16.28515625" customWidth="1"/>
    <col min="17" max="17" width="18.85546875" customWidth="1"/>
  </cols>
  <sheetData>
    <row r="1" spans="1:18" ht="15.75" customHeight="1" x14ac:dyDescent="0.2">
      <c r="A1" s="27" t="s">
        <v>43</v>
      </c>
      <c r="B1" s="28"/>
      <c r="C1" s="27" t="s">
        <v>44</v>
      </c>
      <c r="D1" s="29"/>
      <c r="E1" s="28"/>
      <c r="F1" s="27" t="s">
        <v>45</v>
      </c>
      <c r="G1" s="29"/>
      <c r="H1" s="28"/>
      <c r="I1" s="27" t="s">
        <v>46</v>
      </c>
      <c r="J1" s="29"/>
      <c r="K1" s="28"/>
      <c r="L1" s="1" t="s">
        <v>4</v>
      </c>
      <c r="M1" s="1">
        <f>AVERAGE(C3,F3,I3)</f>
        <v>15</v>
      </c>
    </row>
    <row r="2" spans="1:18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8" ht="15.75" customHeight="1" x14ac:dyDescent="0.2">
      <c r="A3" s="8">
        <v>45745</v>
      </c>
      <c r="B3" s="9">
        <v>0.58333333333333337</v>
      </c>
      <c r="C3" s="10">
        <v>14</v>
      </c>
      <c r="D3" s="10">
        <v>0</v>
      </c>
      <c r="E3" s="10">
        <v>0</v>
      </c>
      <c r="F3" s="10">
        <v>16</v>
      </c>
      <c r="G3" s="10">
        <v>0</v>
      </c>
      <c r="H3" s="10">
        <v>0</v>
      </c>
      <c r="I3" s="10">
        <v>15</v>
      </c>
      <c r="J3" s="10">
        <v>0</v>
      </c>
      <c r="K3" s="10">
        <v>0</v>
      </c>
      <c r="L3" s="1">
        <f t="shared" ref="L3:L10" si="0">AVERAGE(C3,F3,I3)</f>
        <v>15</v>
      </c>
      <c r="M3" s="2">
        <f>L3/M1*100</f>
        <v>100</v>
      </c>
      <c r="N3" s="7">
        <v>0</v>
      </c>
      <c r="O3" s="7" t="str">
        <f>TEXT(B3-B3,"h")</f>
        <v>0</v>
      </c>
      <c r="R3" s="1"/>
    </row>
    <row r="4" spans="1:18" ht="15.75" customHeight="1" x14ac:dyDescent="0.2">
      <c r="A4" s="8">
        <v>45745</v>
      </c>
      <c r="B4" s="9">
        <v>0.99444444444444446</v>
      </c>
      <c r="C4" s="10">
        <v>12</v>
      </c>
      <c r="D4" s="10">
        <v>0</v>
      </c>
      <c r="E4" s="10">
        <v>2</v>
      </c>
      <c r="F4" s="10">
        <v>13</v>
      </c>
      <c r="G4" s="10">
        <v>1</v>
      </c>
      <c r="H4" s="10">
        <v>2</v>
      </c>
      <c r="I4" s="10">
        <v>15</v>
      </c>
      <c r="J4" s="10">
        <v>0</v>
      </c>
      <c r="K4" s="10">
        <v>0</v>
      </c>
      <c r="L4" s="1">
        <f t="shared" si="0"/>
        <v>13.333333333333334</v>
      </c>
      <c r="M4" s="2">
        <f>L4/M1*100</f>
        <v>88.8888888888889</v>
      </c>
      <c r="N4" s="7">
        <v>9</v>
      </c>
      <c r="O4" s="7">
        <f t="shared" ref="O4:O10" si="1">O3+TEXT(B4-B3,"h")</f>
        <v>9</v>
      </c>
      <c r="R4" s="1"/>
    </row>
    <row r="5" spans="1:18" ht="15.75" customHeight="1" x14ac:dyDescent="0.2">
      <c r="A5" s="8">
        <v>45746</v>
      </c>
      <c r="B5" s="9">
        <v>0.43333333333333335</v>
      </c>
      <c r="C5" s="10">
        <v>11</v>
      </c>
      <c r="D5" s="10">
        <v>1</v>
      </c>
      <c r="E5" s="10">
        <v>2</v>
      </c>
      <c r="F5" s="10">
        <v>13</v>
      </c>
      <c r="G5" s="10">
        <v>2</v>
      </c>
      <c r="H5" s="10">
        <v>1</v>
      </c>
      <c r="I5" s="10">
        <v>14</v>
      </c>
      <c r="J5" s="10">
        <v>0</v>
      </c>
      <c r="K5" s="10">
        <v>1</v>
      </c>
      <c r="L5" s="1">
        <f t="shared" si="0"/>
        <v>12.666666666666666</v>
      </c>
      <c r="M5" s="2">
        <f>L5/M1*100</f>
        <v>84.444444444444443</v>
      </c>
      <c r="N5" s="7">
        <v>19.5</v>
      </c>
      <c r="O5" s="7" t="e">
        <f t="shared" si="1"/>
        <v>#VALUE!</v>
      </c>
      <c r="R5" s="1"/>
    </row>
    <row r="6" spans="1:18" ht="15.75" customHeight="1" x14ac:dyDescent="0.2">
      <c r="A6" s="8">
        <v>45746</v>
      </c>
      <c r="B6" s="9">
        <v>0.69791666666666663</v>
      </c>
      <c r="C6" s="10">
        <v>5</v>
      </c>
      <c r="D6" s="10">
        <v>7</v>
      </c>
      <c r="E6" s="10">
        <v>2</v>
      </c>
      <c r="F6" s="10">
        <v>1</v>
      </c>
      <c r="G6" s="10">
        <v>13</v>
      </c>
      <c r="H6" s="10">
        <v>2</v>
      </c>
      <c r="I6" s="10">
        <v>12</v>
      </c>
      <c r="J6" s="10">
        <v>3</v>
      </c>
      <c r="K6" s="10">
        <v>0</v>
      </c>
      <c r="L6" s="1">
        <f t="shared" si="0"/>
        <v>6</v>
      </c>
      <c r="M6" s="2">
        <f>L6/M1*100</f>
        <v>40</v>
      </c>
      <c r="N6" s="7">
        <v>24.83</v>
      </c>
      <c r="O6" s="7" t="e">
        <f t="shared" si="1"/>
        <v>#VALUE!</v>
      </c>
      <c r="R6" s="1"/>
    </row>
    <row r="7" spans="1:18" ht="15.75" customHeight="1" x14ac:dyDescent="0.2">
      <c r="A7" s="8">
        <v>45746</v>
      </c>
      <c r="B7" s="9">
        <v>0.98958333333333337</v>
      </c>
      <c r="C7" s="10">
        <v>4</v>
      </c>
      <c r="D7" s="10">
        <v>8</v>
      </c>
      <c r="E7" s="10">
        <v>2</v>
      </c>
      <c r="F7" s="10">
        <v>0</v>
      </c>
      <c r="G7" s="10">
        <v>14</v>
      </c>
      <c r="H7" s="10">
        <v>2</v>
      </c>
      <c r="I7" s="10">
        <v>4</v>
      </c>
      <c r="J7" s="10">
        <v>11</v>
      </c>
      <c r="K7" s="10">
        <v>0</v>
      </c>
      <c r="L7" s="1">
        <f t="shared" si="0"/>
        <v>2.6666666666666665</v>
      </c>
      <c r="M7" s="2">
        <f>L7/M1*100</f>
        <v>17.777777777777775</v>
      </c>
      <c r="N7" s="7">
        <v>32.83</v>
      </c>
      <c r="O7" s="7" t="e">
        <f t="shared" si="1"/>
        <v>#VALUE!</v>
      </c>
      <c r="R7" s="1"/>
    </row>
    <row r="8" spans="1:18" ht="15.75" customHeight="1" x14ac:dyDescent="0.2">
      <c r="A8" s="8">
        <v>45747</v>
      </c>
      <c r="B8" s="9">
        <v>0.40972222222222221</v>
      </c>
      <c r="C8" s="10">
        <v>0</v>
      </c>
      <c r="D8" s="10">
        <v>13</v>
      </c>
      <c r="E8" s="10">
        <v>1</v>
      </c>
      <c r="F8" s="10">
        <v>0</v>
      </c>
      <c r="G8" s="10">
        <v>15</v>
      </c>
      <c r="H8" s="10">
        <v>1</v>
      </c>
      <c r="I8" s="10">
        <v>3</v>
      </c>
      <c r="J8" s="10">
        <v>12</v>
      </c>
      <c r="K8" s="10">
        <v>0</v>
      </c>
      <c r="L8" s="1">
        <f t="shared" si="0"/>
        <v>1</v>
      </c>
      <c r="M8" s="2">
        <f>L8/M1*100</f>
        <v>6.666666666666667</v>
      </c>
      <c r="N8" s="7">
        <v>42.83</v>
      </c>
      <c r="O8" s="7" t="e">
        <f t="shared" si="1"/>
        <v>#VALUE!</v>
      </c>
    </row>
    <row r="9" spans="1:18" ht="15.75" customHeight="1" x14ac:dyDescent="0.2">
      <c r="A9" s="8">
        <v>45747</v>
      </c>
      <c r="B9" s="9">
        <v>0.67361111111111116</v>
      </c>
      <c r="C9" s="10">
        <v>0</v>
      </c>
      <c r="D9" s="10">
        <v>13</v>
      </c>
      <c r="E9" s="10">
        <v>1</v>
      </c>
      <c r="F9" s="10">
        <v>0</v>
      </c>
      <c r="G9" s="10">
        <v>16</v>
      </c>
      <c r="H9" s="10">
        <v>0</v>
      </c>
      <c r="I9" s="10">
        <v>1</v>
      </c>
      <c r="J9" s="10">
        <v>14</v>
      </c>
      <c r="K9" s="10">
        <v>0</v>
      </c>
      <c r="L9" s="1">
        <f t="shared" si="0"/>
        <v>0.33333333333333331</v>
      </c>
      <c r="M9" s="2">
        <f>L9/M1*100</f>
        <v>2.2222222222222219</v>
      </c>
      <c r="N9" s="7">
        <v>49.58</v>
      </c>
      <c r="O9" s="7" t="e">
        <f t="shared" si="1"/>
        <v>#VALUE!</v>
      </c>
    </row>
    <row r="10" spans="1:18" ht="15.75" customHeight="1" x14ac:dyDescent="0.2">
      <c r="A10" s="11">
        <v>45748</v>
      </c>
      <c r="B10" s="9">
        <v>1.2500000000000001E-2</v>
      </c>
      <c r="C10" s="10">
        <v>0</v>
      </c>
      <c r="D10" s="10">
        <v>13</v>
      </c>
      <c r="E10" s="10">
        <v>1</v>
      </c>
      <c r="F10" s="10">
        <v>0</v>
      </c>
      <c r="G10" s="10">
        <v>16</v>
      </c>
      <c r="H10" s="10">
        <v>0</v>
      </c>
      <c r="I10" s="10">
        <v>0</v>
      </c>
      <c r="J10" s="10">
        <v>15</v>
      </c>
      <c r="K10" s="10">
        <v>0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8" ht="15.75" customHeight="1" x14ac:dyDescent="0.2">
      <c r="A11" s="12"/>
      <c r="B11" s="12"/>
      <c r="C11" s="10"/>
      <c r="D11" s="10"/>
      <c r="E11" s="10" t="s">
        <v>15</v>
      </c>
      <c r="F11" s="10"/>
      <c r="G11" s="10"/>
      <c r="H11" s="10"/>
      <c r="I11" s="10"/>
      <c r="J11" s="10"/>
      <c r="K11" s="10"/>
      <c r="L11" s="17"/>
    </row>
    <row r="12" spans="1:18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  <c r="L12" s="18"/>
      <c r="M12" s="1"/>
    </row>
    <row r="13" spans="1:18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8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8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8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47</v>
      </c>
      <c r="D1" s="29"/>
      <c r="E1" s="28"/>
      <c r="F1" s="27" t="s">
        <v>48</v>
      </c>
      <c r="G1" s="29"/>
      <c r="H1" s="28"/>
      <c r="I1" s="27" t="s">
        <v>49</v>
      </c>
      <c r="J1" s="29"/>
      <c r="K1" s="28"/>
      <c r="L1" s="1" t="s">
        <v>4</v>
      </c>
      <c r="M1" s="1">
        <f>AVERAGE(C3,F3,I3)</f>
        <v>22.333333333333332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8">
        <v>45745</v>
      </c>
      <c r="B3" s="9">
        <v>0.58333333333333337</v>
      </c>
      <c r="C3" s="10">
        <v>12</v>
      </c>
      <c r="D3" s="10">
        <v>0</v>
      </c>
      <c r="E3" s="10">
        <v>0</v>
      </c>
      <c r="F3" s="10">
        <v>28</v>
      </c>
      <c r="G3" s="10">
        <v>0</v>
      </c>
      <c r="H3" s="10">
        <v>0</v>
      </c>
      <c r="I3" s="10">
        <v>27</v>
      </c>
      <c r="J3" s="10">
        <v>0</v>
      </c>
      <c r="K3" s="10">
        <v>0</v>
      </c>
      <c r="L3" s="1">
        <f t="shared" ref="L3:L10" si="0">AVERAGE(C3,F3,I3)</f>
        <v>22.333333333333332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8">
        <v>45745</v>
      </c>
      <c r="B4" s="9">
        <v>0</v>
      </c>
      <c r="C4" s="10">
        <v>10</v>
      </c>
      <c r="D4" s="10">
        <v>0</v>
      </c>
      <c r="E4" s="10">
        <v>2</v>
      </c>
      <c r="F4" s="10">
        <v>20</v>
      </c>
      <c r="G4" s="10">
        <v>1</v>
      </c>
      <c r="H4" s="10">
        <v>7</v>
      </c>
      <c r="I4" s="10">
        <v>10</v>
      </c>
      <c r="J4" s="10">
        <v>0</v>
      </c>
      <c r="K4" s="10">
        <v>17</v>
      </c>
      <c r="L4" s="1">
        <f t="shared" si="0"/>
        <v>13.333333333333334</v>
      </c>
      <c r="M4" s="2">
        <f>L4/M1*100</f>
        <v>59.701492537313442</v>
      </c>
      <c r="N4" s="7">
        <v>9</v>
      </c>
      <c r="O4" s="7" t="e">
        <f t="shared" ref="O4:O10" si="1">O3+TEXT(B4-B3,"h")</f>
        <v>#VALUE!</v>
      </c>
    </row>
    <row r="5" spans="1:15" ht="15.75" customHeight="1" x14ac:dyDescent="0.2">
      <c r="A5" s="8">
        <v>45746</v>
      </c>
      <c r="B5" s="9">
        <v>0.43888888888888888</v>
      </c>
      <c r="C5" s="10">
        <v>10</v>
      </c>
      <c r="D5" s="10">
        <v>0</v>
      </c>
      <c r="E5" s="10">
        <v>2</v>
      </c>
      <c r="F5" s="10">
        <v>23</v>
      </c>
      <c r="G5" s="10">
        <v>1</v>
      </c>
      <c r="H5" s="10">
        <v>4</v>
      </c>
      <c r="I5" s="10">
        <v>12</v>
      </c>
      <c r="J5" s="10">
        <v>0</v>
      </c>
      <c r="K5" s="10">
        <v>15</v>
      </c>
      <c r="L5" s="1">
        <f t="shared" si="0"/>
        <v>15</v>
      </c>
      <c r="M5" s="2">
        <f>L5/M1*100</f>
        <v>67.164179104477611</v>
      </c>
      <c r="N5" s="7">
        <v>19.5</v>
      </c>
      <c r="O5" s="7" t="e">
        <f t="shared" si="1"/>
        <v>#VALUE!</v>
      </c>
    </row>
    <row r="6" spans="1:15" ht="15.75" customHeight="1" x14ac:dyDescent="0.2">
      <c r="A6" s="8">
        <v>45746</v>
      </c>
      <c r="B6" s="9">
        <v>0.72430555555555554</v>
      </c>
      <c r="C6" s="10">
        <v>1</v>
      </c>
      <c r="D6" s="10">
        <v>9</v>
      </c>
      <c r="E6" s="10">
        <v>2</v>
      </c>
      <c r="F6" s="10">
        <v>13</v>
      </c>
      <c r="G6" s="10">
        <v>12</v>
      </c>
      <c r="H6" s="10">
        <v>3</v>
      </c>
      <c r="I6" s="10">
        <v>4</v>
      </c>
      <c r="J6" s="10">
        <v>8</v>
      </c>
      <c r="K6" s="10">
        <v>15</v>
      </c>
      <c r="L6" s="1">
        <f t="shared" si="0"/>
        <v>6</v>
      </c>
      <c r="M6" s="2">
        <f>L6/M1*100</f>
        <v>26.865671641791046</v>
      </c>
      <c r="N6" s="7">
        <v>24.83</v>
      </c>
      <c r="O6" s="7" t="e">
        <f t="shared" si="1"/>
        <v>#VALUE!</v>
      </c>
    </row>
    <row r="7" spans="1:15" ht="15.75" customHeight="1" x14ac:dyDescent="0.2">
      <c r="A7" s="8">
        <v>45746</v>
      </c>
      <c r="B7" s="9">
        <v>0.97569444444444442</v>
      </c>
      <c r="C7" s="10">
        <v>0</v>
      </c>
      <c r="D7" s="10">
        <v>10</v>
      </c>
      <c r="E7" s="10">
        <v>2</v>
      </c>
      <c r="F7" s="10">
        <v>12</v>
      </c>
      <c r="G7" s="10">
        <v>13</v>
      </c>
      <c r="H7" s="10">
        <v>3</v>
      </c>
      <c r="I7" s="10">
        <v>2</v>
      </c>
      <c r="J7" s="10">
        <v>12</v>
      </c>
      <c r="K7" s="10">
        <v>13</v>
      </c>
      <c r="L7" s="1">
        <f t="shared" si="0"/>
        <v>4.666666666666667</v>
      </c>
      <c r="M7" s="2">
        <f>L7/M1*100</f>
        <v>20.895522388059703</v>
      </c>
      <c r="N7" s="7">
        <v>32.83</v>
      </c>
      <c r="O7" s="7" t="e">
        <f t="shared" si="1"/>
        <v>#VALUE!</v>
      </c>
    </row>
    <row r="8" spans="1:15" ht="15.75" customHeight="1" x14ac:dyDescent="0.2">
      <c r="A8" s="8">
        <v>45747</v>
      </c>
      <c r="B8" s="9">
        <v>0.41111111111111109</v>
      </c>
      <c r="C8" s="10">
        <v>0</v>
      </c>
      <c r="D8" s="10">
        <v>10</v>
      </c>
      <c r="E8" s="10">
        <v>2</v>
      </c>
      <c r="F8" s="10">
        <v>5</v>
      </c>
      <c r="G8" s="10">
        <v>18</v>
      </c>
      <c r="H8" s="10">
        <v>5</v>
      </c>
      <c r="I8" s="10">
        <v>1</v>
      </c>
      <c r="J8" s="10">
        <v>23</v>
      </c>
      <c r="K8" s="10">
        <v>3</v>
      </c>
      <c r="L8" s="1">
        <f t="shared" si="0"/>
        <v>2</v>
      </c>
      <c r="M8" s="2">
        <f>L8/M1*100</f>
        <v>8.9552238805970159</v>
      </c>
      <c r="N8" s="7">
        <v>42.83</v>
      </c>
      <c r="O8" s="7" t="e">
        <f t="shared" si="1"/>
        <v>#VALUE!</v>
      </c>
    </row>
    <row r="9" spans="1:15" ht="15.75" customHeight="1" x14ac:dyDescent="0.2">
      <c r="A9" s="8">
        <v>45747</v>
      </c>
      <c r="B9" s="9">
        <v>0.67777777777777781</v>
      </c>
      <c r="C9" s="10">
        <v>0</v>
      </c>
      <c r="D9" s="10">
        <v>12</v>
      </c>
      <c r="E9" s="10">
        <v>0</v>
      </c>
      <c r="F9" s="10">
        <v>0</v>
      </c>
      <c r="G9" s="10">
        <v>23</v>
      </c>
      <c r="H9" s="10">
        <v>5</v>
      </c>
      <c r="I9" s="10">
        <v>0</v>
      </c>
      <c r="J9" s="10">
        <v>25</v>
      </c>
      <c r="K9" s="10">
        <v>2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1">
        <v>45748</v>
      </c>
      <c r="B10" s="9">
        <v>1.5972222222222221E-2</v>
      </c>
      <c r="C10" s="10">
        <v>0</v>
      </c>
      <c r="D10" s="10">
        <v>12</v>
      </c>
      <c r="E10" s="10">
        <v>0</v>
      </c>
      <c r="F10" s="10">
        <v>0</v>
      </c>
      <c r="G10" s="10">
        <v>23</v>
      </c>
      <c r="H10" s="10">
        <v>5</v>
      </c>
      <c r="I10" s="10">
        <v>0</v>
      </c>
      <c r="J10" s="10">
        <v>25</v>
      </c>
      <c r="K10" s="10">
        <v>2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/>
      <c r="F11" s="10"/>
      <c r="G11" s="10"/>
      <c r="H11" s="10" t="s">
        <v>15</v>
      </c>
      <c r="I11" s="10"/>
      <c r="J11" s="10"/>
      <c r="K11" s="10" t="s">
        <v>15</v>
      </c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50</v>
      </c>
      <c r="D1" s="29"/>
      <c r="E1" s="28"/>
      <c r="F1" s="27" t="s">
        <v>51</v>
      </c>
      <c r="G1" s="29"/>
      <c r="H1" s="28"/>
      <c r="I1" s="27" t="s">
        <v>52</v>
      </c>
      <c r="J1" s="29"/>
      <c r="K1" s="28"/>
      <c r="L1" s="1" t="s">
        <v>4</v>
      </c>
      <c r="M1" s="1">
        <f>AVERAGE(C3,F3,I3)</f>
        <v>3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19">
        <v>45745</v>
      </c>
      <c r="B3" s="9">
        <v>0.58333333333333337</v>
      </c>
      <c r="C3" s="10">
        <v>3</v>
      </c>
      <c r="D3" s="10">
        <v>0</v>
      </c>
      <c r="E3" s="10">
        <v>0</v>
      </c>
      <c r="F3" s="10">
        <v>4</v>
      </c>
      <c r="G3" s="10">
        <v>0</v>
      </c>
      <c r="H3" s="10">
        <v>0</v>
      </c>
      <c r="I3" s="10">
        <v>2</v>
      </c>
      <c r="J3" s="10">
        <v>0</v>
      </c>
      <c r="K3" s="10">
        <v>0</v>
      </c>
      <c r="L3" s="1">
        <f t="shared" ref="L3:L10" si="0">AVERAGE(C3,F3,I3)</f>
        <v>3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19">
        <v>45745</v>
      </c>
      <c r="B4" s="9">
        <v>0.93680555555555556</v>
      </c>
      <c r="C4" s="10">
        <v>2</v>
      </c>
      <c r="D4" s="10">
        <v>0</v>
      </c>
      <c r="E4" s="10">
        <v>1</v>
      </c>
      <c r="F4" s="10">
        <v>4</v>
      </c>
      <c r="G4" s="10">
        <v>0</v>
      </c>
      <c r="H4" s="10">
        <v>0</v>
      </c>
      <c r="I4" s="10">
        <v>2</v>
      </c>
      <c r="J4" s="10">
        <v>0</v>
      </c>
      <c r="K4" s="10">
        <v>0</v>
      </c>
      <c r="L4" s="1">
        <f t="shared" si="0"/>
        <v>2.6666666666666665</v>
      </c>
      <c r="M4" s="2">
        <f>L4/M1*100</f>
        <v>88.888888888888886</v>
      </c>
      <c r="N4" s="7">
        <v>9</v>
      </c>
      <c r="O4" s="7">
        <f t="shared" ref="O4:O10" si="1">O3+TEXT(B4-B3,"h")</f>
        <v>8</v>
      </c>
    </row>
    <row r="5" spans="1:15" ht="15.75" customHeight="1" x14ac:dyDescent="0.2">
      <c r="A5" s="19">
        <v>45746</v>
      </c>
      <c r="B5" s="9">
        <v>0.36180555555555555</v>
      </c>
      <c r="C5" s="10">
        <v>0</v>
      </c>
      <c r="D5" s="10">
        <v>1</v>
      </c>
      <c r="E5" s="10">
        <v>2</v>
      </c>
      <c r="F5" s="10">
        <v>1</v>
      </c>
      <c r="G5" s="10">
        <v>3</v>
      </c>
      <c r="H5" s="10">
        <v>0</v>
      </c>
      <c r="I5" s="10">
        <v>1</v>
      </c>
      <c r="J5" s="10">
        <v>0</v>
      </c>
      <c r="K5" s="10">
        <v>1</v>
      </c>
      <c r="L5" s="1">
        <f t="shared" si="0"/>
        <v>0.66666666666666663</v>
      </c>
      <c r="M5" s="2">
        <f>L5/M1*100</f>
        <v>22.222222222222221</v>
      </c>
      <c r="N5" s="7">
        <v>19.5</v>
      </c>
      <c r="O5" s="7" t="e">
        <f t="shared" si="1"/>
        <v>#VALUE!</v>
      </c>
    </row>
    <row r="6" spans="1:15" ht="15.75" customHeight="1" x14ac:dyDescent="0.2">
      <c r="A6" s="19">
        <v>45746</v>
      </c>
      <c r="B6" s="9">
        <v>0.58333333333333337</v>
      </c>
      <c r="C6" s="10">
        <v>0</v>
      </c>
      <c r="D6" s="10">
        <v>2</v>
      </c>
      <c r="E6" s="10">
        <v>1</v>
      </c>
      <c r="F6" s="10">
        <v>0</v>
      </c>
      <c r="G6" s="10">
        <v>4</v>
      </c>
      <c r="H6" s="10">
        <v>0</v>
      </c>
      <c r="I6" s="10">
        <v>0</v>
      </c>
      <c r="J6" s="10">
        <v>1</v>
      </c>
      <c r="K6" s="10">
        <v>1</v>
      </c>
      <c r="L6" s="1">
        <f t="shared" si="0"/>
        <v>0</v>
      </c>
      <c r="M6" s="2">
        <f>L6/M1*100</f>
        <v>0</v>
      </c>
      <c r="N6" s="7">
        <v>24.83</v>
      </c>
      <c r="O6" s="7" t="e">
        <f t="shared" si="1"/>
        <v>#VALUE!</v>
      </c>
    </row>
    <row r="7" spans="1:15" ht="15.75" customHeight="1" x14ac:dyDescent="0.2">
      <c r="A7" s="19">
        <v>45746</v>
      </c>
      <c r="B7" s="9">
        <v>0.93263888888888891</v>
      </c>
      <c r="C7" s="10">
        <v>0</v>
      </c>
      <c r="D7" s="10">
        <v>2</v>
      </c>
      <c r="E7" s="10">
        <v>1</v>
      </c>
      <c r="F7" s="10">
        <v>0</v>
      </c>
      <c r="G7" s="10">
        <v>4</v>
      </c>
      <c r="H7" s="10">
        <v>0</v>
      </c>
      <c r="I7" s="10">
        <v>0</v>
      </c>
      <c r="J7" s="10">
        <v>1</v>
      </c>
      <c r="K7" s="10">
        <v>1</v>
      </c>
      <c r="L7" s="1">
        <f t="shared" si="0"/>
        <v>0</v>
      </c>
      <c r="M7" s="2">
        <f>L7/M1*100</f>
        <v>0</v>
      </c>
      <c r="N7" s="7">
        <v>32.83</v>
      </c>
      <c r="O7" s="7" t="e">
        <f t="shared" si="1"/>
        <v>#VALUE!</v>
      </c>
    </row>
    <row r="8" spans="1:15" ht="15.75" customHeight="1" x14ac:dyDescent="0.2">
      <c r="A8" s="19">
        <v>45747</v>
      </c>
      <c r="B8" s="9">
        <v>0.36319444444444443</v>
      </c>
      <c r="C8" s="10">
        <v>0</v>
      </c>
      <c r="D8" s="10">
        <v>2</v>
      </c>
      <c r="E8" s="10">
        <v>1</v>
      </c>
      <c r="F8" s="10">
        <v>0</v>
      </c>
      <c r="G8" s="10">
        <v>4</v>
      </c>
      <c r="H8" s="10">
        <v>0</v>
      </c>
      <c r="I8" s="10">
        <v>0</v>
      </c>
      <c r="J8" s="10">
        <v>1</v>
      </c>
      <c r="K8" s="10">
        <v>1</v>
      </c>
      <c r="L8" s="1">
        <f t="shared" si="0"/>
        <v>0</v>
      </c>
      <c r="M8" s="2">
        <f>L8/M1*100</f>
        <v>0</v>
      </c>
      <c r="N8" s="7">
        <v>42.83</v>
      </c>
      <c r="O8" s="7" t="e">
        <f t="shared" si="1"/>
        <v>#VALUE!</v>
      </c>
    </row>
    <row r="9" spans="1:15" ht="15.75" customHeight="1" x14ac:dyDescent="0.2">
      <c r="A9" s="19">
        <v>45747</v>
      </c>
      <c r="B9" s="9">
        <v>0.68472222222222223</v>
      </c>
      <c r="C9" s="10">
        <v>0</v>
      </c>
      <c r="D9" s="10">
        <v>2</v>
      </c>
      <c r="E9" s="10">
        <v>1</v>
      </c>
      <c r="F9" s="10">
        <v>0</v>
      </c>
      <c r="G9" s="10">
        <v>4</v>
      </c>
      <c r="H9" s="10">
        <v>0</v>
      </c>
      <c r="I9" s="10">
        <v>0</v>
      </c>
      <c r="J9" s="10">
        <v>1</v>
      </c>
      <c r="K9" s="10">
        <v>1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9">
        <v>45748</v>
      </c>
      <c r="B10" s="9">
        <v>1.7361111111111112E-2</v>
      </c>
      <c r="C10" s="10">
        <v>0</v>
      </c>
      <c r="D10" s="10">
        <v>3</v>
      </c>
      <c r="E10" s="10">
        <v>0</v>
      </c>
      <c r="F10" s="10">
        <v>0</v>
      </c>
      <c r="G10" s="10">
        <v>4</v>
      </c>
      <c r="H10" s="10">
        <v>0</v>
      </c>
      <c r="I10" s="10">
        <v>0</v>
      </c>
      <c r="J10" s="10">
        <v>1</v>
      </c>
      <c r="K10" s="10">
        <v>1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 t="s">
        <v>15</v>
      </c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53</v>
      </c>
      <c r="D1" s="29"/>
      <c r="E1" s="28"/>
      <c r="F1" s="27" t="s">
        <v>54</v>
      </c>
      <c r="G1" s="29"/>
      <c r="H1" s="28"/>
      <c r="I1" s="27" t="s">
        <v>55</v>
      </c>
      <c r="J1" s="29"/>
      <c r="K1" s="28"/>
      <c r="L1" s="1" t="s">
        <v>4</v>
      </c>
      <c r="M1" s="1">
        <f>AVERAGE(C3,F3,I3)</f>
        <v>13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19">
        <v>45745</v>
      </c>
      <c r="B3" s="9">
        <v>0.58333333333333337</v>
      </c>
      <c r="C3" s="10">
        <v>10</v>
      </c>
      <c r="D3" s="10">
        <v>0</v>
      </c>
      <c r="E3" s="10">
        <v>0</v>
      </c>
      <c r="F3" s="10">
        <v>14</v>
      </c>
      <c r="G3" s="10">
        <v>0</v>
      </c>
      <c r="H3" s="10">
        <v>0</v>
      </c>
      <c r="I3" s="10">
        <v>15</v>
      </c>
      <c r="J3" s="10">
        <v>0</v>
      </c>
      <c r="K3" s="10">
        <v>0</v>
      </c>
      <c r="L3" s="1">
        <f t="shared" ref="L3:L10" si="0">AVERAGE(C3,F3,I3)</f>
        <v>13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19">
        <v>45745</v>
      </c>
      <c r="B4" s="9">
        <v>0.94097222222222221</v>
      </c>
      <c r="C4" s="10">
        <v>2</v>
      </c>
      <c r="D4" s="10">
        <v>0</v>
      </c>
      <c r="E4" s="10">
        <v>8</v>
      </c>
      <c r="F4" s="10">
        <v>7</v>
      </c>
      <c r="G4" s="10">
        <v>0</v>
      </c>
      <c r="H4" s="10">
        <v>7</v>
      </c>
      <c r="I4" s="10">
        <v>12</v>
      </c>
      <c r="J4" s="10">
        <v>0</v>
      </c>
      <c r="K4" s="10">
        <v>3</v>
      </c>
      <c r="L4" s="1">
        <f t="shared" si="0"/>
        <v>7</v>
      </c>
      <c r="M4" s="2">
        <f>L4/M1*100</f>
        <v>53.846153846153847</v>
      </c>
      <c r="N4" s="7">
        <v>9</v>
      </c>
      <c r="O4" s="7">
        <f t="shared" ref="O4:O10" si="1">O3+TEXT(B4-B3,"h")</f>
        <v>8</v>
      </c>
    </row>
    <row r="5" spans="1:15" ht="15.75" customHeight="1" x14ac:dyDescent="0.2">
      <c r="A5" s="19">
        <v>45746</v>
      </c>
      <c r="B5" s="9">
        <v>0.37013888888888891</v>
      </c>
      <c r="C5" s="10">
        <v>2</v>
      </c>
      <c r="D5" s="10">
        <v>0</v>
      </c>
      <c r="E5" s="10">
        <v>8</v>
      </c>
      <c r="F5" s="10">
        <v>1</v>
      </c>
      <c r="G5" s="10">
        <v>5</v>
      </c>
      <c r="H5" s="10">
        <v>8</v>
      </c>
      <c r="I5" s="10">
        <v>7</v>
      </c>
      <c r="J5" s="10">
        <v>3</v>
      </c>
      <c r="K5" s="10">
        <v>5</v>
      </c>
      <c r="L5" s="1">
        <f t="shared" si="0"/>
        <v>3.3333333333333335</v>
      </c>
      <c r="M5" s="2">
        <f>L5/M1*100</f>
        <v>25.641025641025646</v>
      </c>
      <c r="N5" s="7">
        <v>19.5</v>
      </c>
      <c r="O5" s="7" t="e">
        <f t="shared" si="1"/>
        <v>#VALUE!</v>
      </c>
    </row>
    <row r="6" spans="1:15" ht="15.75" customHeight="1" x14ac:dyDescent="0.2">
      <c r="A6" s="19">
        <v>45746</v>
      </c>
      <c r="B6" s="9">
        <v>0.59375</v>
      </c>
      <c r="C6" s="10">
        <v>2</v>
      </c>
      <c r="D6" s="10">
        <v>0</v>
      </c>
      <c r="E6" s="10">
        <v>8</v>
      </c>
      <c r="F6" s="10">
        <v>1</v>
      </c>
      <c r="G6" s="10">
        <v>6</v>
      </c>
      <c r="H6" s="10">
        <v>7</v>
      </c>
      <c r="I6" s="10">
        <v>3</v>
      </c>
      <c r="J6" s="10">
        <v>8</v>
      </c>
      <c r="K6" s="10">
        <v>4</v>
      </c>
      <c r="L6" s="1">
        <f t="shared" si="0"/>
        <v>2</v>
      </c>
      <c r="M6" s="2">
        <f>L6/M1*100</f>
        <v>15.384615384615385</v>
      </c>
      <c r="N6" s="7">
        <v>24.83</v>
      </c>
      <c r="O6" s="7" t="e">
        <f t="shared" si="1"/>
        <v>#VALUE!</v>
      </c>
    </row>
    <row r="7" spans="1:15" ht="15.75" customHeight="1" x14ac:dyDescent="0.2">
      <c r="A7" s="19">
        <v>45746</v>
      </c>
      <c r="B7" s="9">
        <v>0.93541666666666667</v>
      </c>
      <c r="C7" s="10">
        <v>0</v>
      </c>
      <c r="D7" s="10">
        <v>2</v>
      </c>
      <c r="E7" s="10">
        <v>8</v>
      </c>
      <c r="F7" s="10">
        <v>0</v>
      </c>
      <c r="G7" s="10">
        <v>7</v>
      </c>
      <c r="H7" s="10">
        <v>7</v>
      </c>
      <c r="I7" s="10">
        <v>1</v>
      </c>
      <c r="J7" s="10">
        <v>10</v>
      </c>
      <c r="K7" s="10">
        <v>4</v>
      </c>
      <c r="L7" s="1">
        <f t="shared" si="0"/>
        <v>0.33333333333333331</v>
      </c>
      <c r="M7" s="2">
        <f>L7/M1*100</f>
        <v>2.5641025641025639</v>
      </c>
      <c r="N7" s="7">
        <v>32.83</v>
      </c>
      <c r="O7" s="7" t="e">
        <f t="shared" si="1"/>
        <v>#VALUE!</v>
      </c>
    </row>
    <row r="8" spans="1:15" ht="15.75" customHeight="1" x14ac:dyDescent="0.2">
      <c r="A8" s="19">
        <v>45747</v>
      </c>
      <c r="B8" s="9">
        <v>0.37638888888888888</v>
      </c>
      <c r="C8" s="10">
        <v>0</v>
      </c>
      <c r="D8" s="10">
        <v>2</v>
      </c>
      <c r="E8" s="10">
        <v>8</v>
      </c>
      <c r="F8" s="10">
        <v>0</v>
      </c>
      <c r="G8" s="10">
        <v>7</v>
      </c>
      <c r="H8" s="10">
        <v>7</v>
      </c>
      <c r="I8" s="10">
        <v>0</v>
      </c>
      <c r="J8" s="10">
        <v>11</v>
      </c>
      <c r="K8" s="10">
        <v>4</v>
      </c>
      <c r="L8" s="1">
        <f t="shared" si="0"/>
        <v>0</v>
      </c>
      <c r="M8" s="2">
        <f>L8/M1*100</f>
        <v>0</v>
      </c>
      <c r="N8" s="7">
        <v>42.83</v>
      </c>
      <c r="O8" s="7" t="e">
        <f t="shared" si="1"/>
        <v>#VALUE!</v>
      </c>
    </row>
    <row r="9" spans="1:15" ht="15.75" customHeight="1" x14ac:dyDescent="0.2">
      <c r="A9" s="19">
        <v>45747</v>
      </c>
      <c r="B9" s="9">
        <v>0.68819444444444444</v>
      </c>
      <c r="C9" s="10">
        <v>0</v>
      </c>
      <c r="D9" s="10">
        <v>3</v>
      </c>
      <c r="E9" s="10">
        <v>7</v>
      </c>
      <c r="F9" s="10">
        <v>0</v>
      </c>
      <c r="G9" s="10">
        <v>8</v>
      </c>
      <c r="H9" s="10">
        <v>6</v>
      </c>
      <c r="I9" s="10">
        <v>0</v>
      </c>
      <c r="J9" s="10">
        <v>13</v>
      </c>
      <c r="K9" s="10">
        <v>2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9">
        <v>45748</v>
      </c>
      <c r="B10" s="9">
        <v>2.2916666666666665E-2</v>
      </c>
      <c r="C10" s="10">
        <v>0</v>
      </c>
      <c r="D10" s="10">
        <v>3</v>
      </c>
      <c r="E10" s="10">
        <v>7</v>
      </c>
      <c r="F10" s="10">
        <v>0</v>
      </c>
      <c r="G10" s="10">
        <v>8</v>
      </c>
      <c r="H10" s="10">
        <v>6</v>
      </c>
      <c r="I10" s="10">
        <v>0</v>
      </c>
      <c r="J10" s="10">
        <v>13</v>
      </c>
      <c r="K10" s="10">
        <v>2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 t="s">
        <v>15</v>
      </c>
      <c r="F11" s="10"/>
      <c r="G11" s="10"/>
      <c r="H11" s="10" t="s">
        <v>15</v>
      </c>
      <c r="I11" s="10"/>
      <c r="J11" s="10"/>
      <c r="K11" s="10" t="s">
        <v>15</v>
      </c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56</v>
      </c>
      <c r="D1" s="29"/>
      <c r="E1" s="28"/>
      <c r="F1" s="27" t="s">
        <v>57</v>
      </c>
      <c r="G1" s="29"/>
      <c r="H1" s="28"/>
      <c r="I1" s="27" t="s">
        <v>58</v>
      </c>
      <c r="J1" s="29"/>
      <c r="K1" s="28"/>
      <c r="L1" s="1" t="s">
        <v>4</v>
      </c>
      <c r="M1" s="1">
        <f>AVERAGE(C3,F3,I3)</f>
        <v>13.666666666666666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19">
        <v>45745</v>
      </c>
      <c r="B3" s="9">
        <v>0.60416666666666663</v>
      </c>
      <c r="C3" s="10">
        <v>15</v>
      </c>
      <c r="D3" s="10">
        <v>0</v>
      </c>
      <c r="E3" s="10">
        <v>0</v>
      </c>
      <c r="F3" s="10">
        <v>13</v>
      </c>
      <c r="G3" s="10">
        <v>0</v>
      </c>
      <c r="H3" s="10">
        <v>0</v>
      </c>
      <c r="I3" s="10">
        <v>13</v>
      </c>
      <c r="J3" s="10">
        <v>0</v>
      </c>
      <c r="K3" s="10">
        <v>0</v>
      </c>
      <c r="L3" s="1">
        <f t="shared" ref="L3:L10" si="0">AVERAGE(C3,F3,I3)</f>
        <v>13.666666666666666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19">
        <v>45745</v>
      </c>
      <c r="B4" s="9">
        <v>0.96875</v>
      </c>
      <c r="C4" s="10">
        <v>15</v>
      </c>
      <c r="D4" s="10">
        <v>0</v>
      </c>
      <c r="E4" s="10">
        <v>0</v>
      </c>
      <c r="F4" s="10">
        <v>9</v>
      </c>
      <c r="G4" s="10">
        <v>1</v>
      </c>
      <c r="H4" s="10">
        <v>3</v>
      </c>
      <c r="I4" s="10">
        <v>13</v>
      </c>
      <c r="J4" s="10">
        <v>0</v>
      </c>
      <c r="K4" s="10">
        <v>0</v>
      </c>
      <c r="L4" s="1">
        <f t="shared" si="0"/>
        <v>12.333333333333334</v>
      </c>
      <c r="M4" s="2">
        <f>L4/M1*100</f>
        <v>90.24390243902441</v>
      </c>
      <c r="N4" s="7">
        <v>9</v>
      </c>
      <c r="O4" s="7">
        <f t="shared" ref="O4:O10" si="1">O3+TEXT(B4-B3,"h")</f>
        <v>8</v>
      </c>
    </row>
    <row r="5" spans="1:15" ht="15.75" customHeight="1" x14ac:dyDescent="0.2">
      <c r="A5" s="19">
        <v>45746</v>
      </c>
      <c r="B5" s="9">
        <v>0.40972222222222221</v>
      </c>
      <c r="C5" s="10">
        <v>10</v>
      </c>
      <c r="D5" s="10">
        <v>0</v>
      </c>
      <c r="E5" s="10">
        <v>5</v>
      </c>
      <c r="F5" s="10">
        <v>7</v>
      </c>
      <c r="G5" s="10">
        <v>2</v>
      </c>
      <c r="H5" s="10">
        <v>4</v>
      </c>
      <c r="I5" s="10">
        <v>12</v>
      </c>
      <c r="J5" s="10">
        <v>1</v>
      </c>
      <c r="K5" s="10">
        <v>0</v>
      </c>
      <c r="L5" s="1">
        <f t="shared" si="0"/>
        <v>9.6666666666666661</v>
      </c>
      <c r="M5" s="2">
        <f>L5/M1*100</f>
        <v>70.731707317073173</v>
      </c>
      <c r="N5" s="7">
        <v>19.5</v>
      </c>
      <c r="O5" s="7" t="e">
        <f t="shared" si="1"/>
        <v>#VALUE!</v>
      </c>
    </row>
    <row r="6" spans="1:15" ht="15.75" customHeight="1" x14ac:dyDescent="0.2">
      <c r="A6" s="19">
        <v>45746</v>
      </c>
      <c r="B6" s="9">
        <v>0.65416666666666667</v>
      </c>
      <c r="C6" s="10">
        <v>5</v>
      </c>
      <c r="D6" s="10">
        <v>6</v>
      </c>
      <c r="E6" s="10">
        <v>4</v>
      </c>
      <c r="F6" s="10">
        <v>0</v>
      </c>
      <c r="G6" s="10">
        <v>9</v>
      </c>
      <c r="H6" s="10">
        <v>4</v>
      </c>
      <c r="I6" s="10">
        <v>2</v>
      </c>
      <c r="J6" s="10">
        <v>9</v>
      </c>
      <c r="K6" s="10">
        <v>2</v>
      </c>
      <c r="L6" s="1">
        <f t="shared" si="0"/>
        <v>2.3333333333333335</v>
      </c>
      <c r="M6" s="2">
        <f>L6/M1*100</f>
        <v>17.073170731707318</v>
      </c>
      <c r="N6" s="7">
        <v>24.83</v>
      </c>
      <c r="O6" s="7" t="e">
        <f t="shared" si="1"/>
        <v>#VALUE!</v>
      </c>
    </row>
    <row r="7" spans="1:15" ht="15.75" customHeight="1" x14ac:dyDescent="0.2">
      <c r="A7" s="19">
        <v>45746</v>
      </c>
      <c r="B7" s="9">
        <v>0.9506944444444444</v>
      </c>
      <c r="C7" s="10">
        <v>3</v>
      </c>
      <c r="D7" s="10">
        <v>10</v>
      </c>
      <c r="E7" s="10">
        <v>2</v>
      </c>
      <c r="F7" s="10">
        <v>0</v>
      </c>
      <c r="G7" s="10">
        <v>10</v>
      </c>
      <c r="H7" s="10">
        <v>3</v>
      </c>
      <c r="I7" s="10">
        <v>2</v>
      </c>
      <c r="J7" s="10">
        <v>9</v>
      </c>
      <c r="K7" s="10">
        <v>2</v>
      </c>
      <c r="L7" s="1">
        <f t="shared" si="0"/>
        <v>1.6666666666666667</v>
      </c>
      <c r="M7" s="2">
        <f>L7/M1*100</f>
        <v>12.195121951219514</v>
      </c>
      <c r="N7" s="7">
        <v>32.83</v>
      </c>
      <c r="O7" s="7" t="e">
        <f t="shared" si="1"/>
        <v>#VALUE!</v>
      </c>
    </row>
    <row r="8" spans="1:15" ht="15.75" customHeight="1" x14ac:dyDescent="0.2">
      <c r="A8" s="19">
        <v>45747</v>
      </c>
      <c r="B8" s="9">
        <v>0.3888888888888889</v>
      </c>
      <c r="C8" s="10">
        <v>1</v>
      </c>
      <c r="D8" s="10">
        <v>12</v>
      </c>
      <c r="E8" s="10">
        <v>2</v>
      </c>
      <c r="F8" s="10">
        <v>0</v>
      </c>
      <c r="G8" s="10">
        <v>10</v>
      </c>
      <c r="H8" s="10">
        <v>3</v>
      </c>
      <c r="I8" s="10">
        <v>0</v>
      </c>
      <c r="J8" s="10">
        <v>11</v>
      </c>
      <c r="K8" s="10">
        <v>2</v>
      </c>
      <c r="L8" s="1">
        <f t="shared" si="0"/>
        <v>0.33333333333333331</v>
      </c>
      <c r="M8" s="2">
        <f>L8/M1*100</f>
        <v>2.4390243902439024</v>
      </c>
      <c r="N8" s="7">
        <v>42.83</v>
      </c>
      <c r="O8" s="7" t="e">
        <f t="shared" si="1"/>
        <v>#VALUE!</v>
      </c>
    </row>
    <row r="9" spans="1:15" ht="15.75" customHeight="1" x14ac:dyDescent="0.2">
      <c r="A9" s="19">
        <v>45747</v>
      </c>
      <c r="B9" s="9">
        <v>0.69791666666666663</v>
      </c>
      <c r="C9" s="10">
        <v>0</v>
      </c>
      <c r="D9" s="10">
        <v>14</v>
      </c>
      <c r="E9" s="10">
        <v>1</v>
      </c>
      <c r="F9" s="10">
        <v>0</v>
      </c>
      <c r="G9" s="10">
        <v>12</v>
      </c>
      <c r="H9" s="10">
        <v>1</v>
      </c>
      <c r="I9" s="10">
        <v>0</v>
      </c>
      <c r="J9" s="10">
        <v>12</v>
      </c>
      <c r="K9" s="10">
        <v>1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9">
        <v>45748</v>
      </c>
      <c r="B10" s="9">
        <v>2.8472222222222222E-2</v>
      </c>
      <c r="C10" s="10">
        <v>0</v>
      </c>
      <c r="D10" s="10">
        <v>14</v>
      </c>
      <c r="E10" s="10">
        <v>1</v>
      </c>
      <c r="F10" s="10">
        <v>0</v>
      </c>
      <c r="G10" s="10">
        <v>12</v>
      </c>
      <c r="H10" s="10">
        <v>1</v>
      </c>
      <c r="I10" s="10">
        <v>0</v>
      </c>
      <c r="J10" s="10">
        <v>12</v>
      </c>
      <c r="K10" s="10">
        <v>1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 t="s">
        <v>15</v>
      </c>
      <c r="F11" s="10"/>
      <c r="G11" s="10"/>
      <c r="H11" s="10" t="s">
        <v>15</v>
      </c>
      <c r="I11" s="10"/>
      <c r="J11" s="10"/>
      <c r="K11" s="10" t="s">
        <v>15</v>
      </c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59</v>
      </c>
      <c r="D1" s="29"/>
      <c r="E1" s="28"/>
      <c r="F1" s="27" t="s">
        <v>60</v>
      </c>
      <c r="G1" s="29"/>
      <c r="H1" s="28"/>
      <c r="I1" s="27" t="s">
        <v>61</v>
      </c>
      <c r="J1" s="29"/>
      <c r="K1" s="28"/>
      <c r="L1" s="1" t="s">
        <v>4</v>
      </c>
      <c r="M1" s="1">
        <f>AVERAGE(C3,F3,I3)</f>
        <v>11.333333333333334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19">
        <v>45745</v>
      </c>
      <c r="B3" s="9">
        <v>0.58333333333333337</v>
      </c>
      <c r="C3" s="10">
        <v>10</v>
      </c>
      <c r="D3" s="10">
        <v>0</v>
      </c>
      <c r="E3" s="10">
        <v>0</v>
      </c>
      <c r="F3" s="10">
        <v>11</v>
      </c>
      <c r="G3" s="10">
        <v>0</v>
      </c>
      <c r="H3" s="10">
        <v>0</v>
      </c>
      <c r="I3" s="10">
        <v>13</v>
      </c>
      <c r="J3" s="10">
        <v>0</v>
      </c>
      <c r="K3" s="10">
        <v>0</v>
      </c>
      <c r="L3" s="1">
        <f t="shared" ref="L3:L10" si="0">AVERAGE(C3,F3,I3)</f>
        <v>11.333333333333334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19">
        <v>45745</v>
      </c>
      <c r="B4" s="9">
        <v>0.95902777777777781</v>
      </c>
      <c r="C4" s="10">
        <v>8</v>
      </c>
      <c r="D4" s="10">
        <v>0</v>
      </c>
      <c r="E4" s="10">
        <v>2</v>
      </c>
      <c r="F4" s="10">
        <v>8</v>
      </c>
      <c r="G4" s="10">
        <v>1</v>
      </c>
      <c r="H4" s="10">
        <v>2</v>
      </c>
      <c r="I4" s="10">
        <v>12</v>
      </c>
      <c r="J4" s="10">
        <v>0</v>
      </c>
      <c r="K4" s="10">
        <v>1</v>
      </c>
      <c r="L4" s="1">
        <f t="shared" si="0"/>
        <v>9.3333333333333339</v>
      </c>
      <c r="M4" s="2">
        <f>L4/M1*100</f>
        <v>82.35294117647058</v>
      </c>
      <c r="N4" s="7">
        <v>9</v>
      </c>
      <c r="O4" s="7">
        <f t="shared" ref="O4:O10" si="1">O3+TEXT(B4-B3,"h")</f>
        <v>9</v>
      </c>
    </row>
    <row r="5" spans="1:15" ht="15.75" customHeight="1" x14ac:dyDescent="0.2">
      <c r="A5" s="19">
        <v>45746</v>
      </c>
      <c r="B5" s="9">
        <v>0.38680555555555557</v>
      </c>
      <c r="C5" s="10">
        <v>5</v>
      </c>
      <c r="D5" s="10">
        <v>1</v>
      </c>
      <c r="E5" s="10">
        <v>4</v>
      </c>
      <c r="F5" s="10">
        <v>3</v>
      </c>
      <c r="G5" s="10">
        <v>6</v>
      </c>
      <c r="H5" s="10">
        <v>2</v>
      </c>
      <c r="I5" s="10">
        <v>7</v>
      </c>
      <c r="J5" s="10">
        <v>4</v>
      </c>
      <c r="K5" s="10">
        <v>1</v>
      </c>
      <c r="L5" s="1">
        <f t="shared" si="0"/>
        <v>5</v>
      </c>
      <c r="M5" s="2">
        <f>L5/M1*100</f>
        <v>44.117647058823529</v>
      </c>
      <c r="N5" s="7">
        <v>19.5</v>
      </c>
      <c r="O5" s="7" t="e">
        <f t="shared" si="1"/>
        <v>#VALUE!</v>
      </c>
    </row>
    <row r="6" spans="1:15" ht="15.75" customHeight="1" x14ac:dyDescent="0.2">
      <c r="A6" s="19">
        <v>45746</v>
      </c>
      <c r="B6" s="9">
        <v>0.60972222222222228</v>
      </c>
      <c r="C6" s="10">
        <v>1</v>
      </c>
      <c r="D6" s="10">
        <v>4</v>
      </c>
      <c r="E6" s="10">
        <v>5</v>
      </c>
      <c r="F6" s="10">
        <v>0</v>
      </c>
      <c r="G6" s="10">
        <v>9</v>
      </c>
      <c r="H6" s="10">
        <v>2</v>
      </c>
      <c r="I6" s="10">
        <v>1</v>
      </c>
      <c r="J6" s="10">
        <v>10</v>
      </c>
      <c r="K6" s="10">
        <v>2</v>
      </c>
      <c r="L6" s="1">
        <f t="shared" si="0"/>
        <v>0.66666666666666663</v>
      </c>
      <c r="M6" s="2">
        <f>L6/M1*100</f>
        <v>5.8823529411764701</v>
      </c>
      <c r="N6" s="7">
        <v>24.83</v>
      </c>
      <c r="O6" s="7" t="e">
        <f t="shared" si="1"/>
        <v>#VALUE!</v>
      </c>
    </row>
    <row r="7" spans="1:15" ht="15.75" customHeight="1" x14ac:dyDescent="0.2">
      <c r="A7" s="19">
        <v>45746</v>
      </c>
      <c r="B7" s="9">
        <v>0.94374999999999998</v>
      </c>
      <c r="C7" s="10">
        <v>1</v>
      </c>
      <c r="D7" s="10">
        <v>5</v>
      </c>
      <c r="E7" s="10">
        <v>4</v>
      </c>
      <c r="F7" s="10">
        <v>0</v>
      </c>
      <c r="G7" s="10">
        <v>9</v>
      </c>
      <c r="H7" s="10">
        <v>2</v>
      </c>
      <c r="I7" s="10">
        <v>0</v>
      </c>
      <c r="J7" s="10">
        <v>12</v>
      </c>
      <c r="K7" s="10">
        <v>1</v>
      </c>
      <c r="L7" s="1">
        <f t="shared" si="0"/>
        <v>0.33333333333333331</v>
      </c>
      <c r="M7" s="2">
        <f>L7/M1*100</f>
        <v>2.9411764705882351</v>
      </c>
      <c r="N7" s="7">
        <v>32.83</v>
      </c>
      <c r="O7" s="7" t="e">
        <f t="shared" si="1"/>
        <v>#VALUE!</v>
      </c>
    </row>
    <row r="8" spans="1:15" ht="15.75" customHeight="1" x14ac:dyDescent="0.2">
      <c r="A8" s="19">
        <v>45747</v>
      </c>
      <c r="B8" s="9">
        <v>0.38333333333333336</v>
      </c>
      <c r="C8" s="10">
        <v>1</v>
      </c>
      <c r="D8" s="10">
        <v>5</v>
      </c>
      <c r="E8" s="10">
        <v>4</v>
      </c>
      <c r="F8" s="10">
        <v>0</v>
      </c>
      <c r="G8" s="10">
        <v>9</v>
      </c>
      <c r="H8" s="10">
        <v>2</v>
      </c>
      <c r="I8" s="10">
        <v>0</v>
      </c>
      <c r="J8" s="10">
        <v>12</v>
      </c>
      <c r="K8" s="10">
        <v>1</v>
      </c>
      <c r="L8" s="1">
        <f t="shared" si="0"/>
        <v>0.33333333333333331</v>
      </c>
      <c r="M8" s="2">
        <f>L8/M1*100</f>
        <v>2.9411764705882351</v>
      </c>
      <c r="N8" s="7">
        <v>42.83</v>
      </c>
      <c r="O8" s="7" t="e">
        <f t="shared" si="1"/>
        <v>#VALUE!</v>
      </c>
    </row>
    <row r="9" spans="1:15" ht="15.75" customHeight="1" x14ac:dyDescent="0.2">
      <c r="A9" s="19">
        <v>45747</v>
      </c>
      <c r="B9" s="9">
        <v>0.69305555555555554</v>
      </c>
      <c r="C9" s="10">
        <v>0</v>
      </c>
      <c r="D9" s="10">
        <v>9</v>
      </c>
      <c r="E9" s="10">
        <v>1</v>
      </c>
      <c r="F9" s="10">
        <v>0</v>
      </c>
      <c r="G9" s="10">
        <v>10</v>
      </c>
      <c r="H9" s="10">
        <v>1</v>
      </c>
      <c r="I9" s="10">
        <v>0</v>
      </c>
      <c r="J9" s="10">
        <v>12</v>
      </c>
      <c r="K9" s="10">
        <v>1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9">
        <v>45748</v>
      </c>
      <c r="B10" s="9">
        <v>2.6388888888888889E-2</v>
      </c>
      <c r="C10" s="10">
        <v>0</v>
      </c>
      <c r="D10" s="10">
        <v>9</v>
      </c>
      <c r="E10" s="10">
        <v>1</v>
      </c>
      <c r="F10" s="10">
        <v>0</v>
      </c>
      <c r="G10" s="10">
        <v>10</v>
      </c>
      <c r="H10" s="10">
        <v>1</v>
      </c>
      <c r="I10" s="10">
        <v>0</v>
      </c>
      <c r="J10" s="10">
        <v>12</v>
      </c>
      <c r="K10" s="10">
        <v>1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 t="s">
        <v>15</v>
      </c>
      <c r="F11" s="10"/>
      <c r="G11" s="10"/>
      <c r="H11" s="10" t="s">
        <v>15</v>
      </c>
      <c r="I11" s="10"/>
      <c r="J11" s="10"/>
      <c r="K11" s="10" t="s">
        <v>15</v>
      </c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62</v>
      </c>
      <c r="D1" s="29"/>
      <c r="E1" s="28"/>
      <c r="F1" s="27" t="s">
        <v>63</v>
      </c>
      <c r="G1" s="29"/>
      <c r="H1" s="28"/>
      <c r="I1" s="27" t="s">
        <v>64</v>
      </c>
      <c r="J1" s="29"/>
      <c r="K1" s="28"/>
      <c r="L1" s="1" t="s">
        <v>4</v>
      </c>
      <c r="M1" s="1">
        <f>AVERAGE(C3,F3,I3)</f>
        <v>13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19">
        <v>45745</v>
      </c>
      <c r="B3" s="9">
        <v>0.58333333333333337</v>
      </c>
      <c r="C3" s="10">
        <v>12</v>
      </c>
      <c r="D3" s="10">
        <v>0</v>
      </c>
      <c r="E3" s="10">
        <v>0</v>
      </c>
      <c r="F3" s="10">
        <v>13</v>
      </c>
      <c r="G3" s="10">
        <v>0</v>
      </c>
      <c r="H3" s="10">
        <v>0</v>
      </c>
      <c r="I3" s="10">
        <v>14</v>
      </c>
      <c r="J3" s="10">
        <v>0</v>
      </c>
      <c r="K3" s="10">
        <v>0</v>
      </c>
      <c r="L3" s="1">
        <f t="shared" ref="L3:L10" si="0">AVERAGE(C3,F3,I3)</f>
        <v>13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19">
        <v>45745</v>
      </c>
      <c r="B4" s="9">
        <v>0.98263888888888884</v>
      </c>
      <c r="C4" s="10">
        <v>7</v>
      </c>
      <c r="D4" s="10">
        <v>1</v>
      </c>
      <c r="E4" s="10">
        <v>4</v>
      </c>
      <c r="F4" s="10">
        <v>11</v>
      </c>
      <c r="G4" s="10">
        <v>0</v>
      </c>
      <c r="H4" s="10">
        <v>2</v>
      </c>
      <c r="I4" s="10">
        <v>11</v>
      </c>
      <c r="J4" s="10">
        <v>0</v>
      </c>
      <c r="K4" s="10">
        <v>3</v>
      </c>
      <c r="L4" s="1">
        <f t="shared" si="0"/>
        <v>9.6666666666666661</v>
      </c>
      <c r="M4" s="2">
        <f>L4/M1*100</f>
        <v>74.358974358974351</v>
      </c>
      <c r="N4" s="7">
        <v>9</v>
      </c>
      <c r="O4" s="7">
        <f t="shared" ref="O4:O10" si="1">O3+TEXT(B4-B3,"h")</f>
        <v>9</v>
      </c>
    </row>
    <row r="5" spans="1:15" ht="15.75" customHeight="1" x14ac:dyDescent="0.2">
      <c r="A5" s="19">
        <v>45746</v>
      </c>
      <c r="B5" s="9">
        <v>0.42152777777777778</v>
      </c>
      <c r="C5" s="10">
        <v>0</v>
      </c>
      <c r="D5" s="10">
        <v>9</v>
      </c>
      <c r="E5" s="10">
        <v>3</v>
      </c>
      <c r="F5" s="10">
        <v>0</v>
      </c>
      <c r="G5" s="10">
        <v>12</v>
      </c>
      <c r="H5" s="10">
        <v>1</v>
      </c>
      <c r="I5" s="10">
        <v>0</v>
      </c>
      <c r="J5" s="10">
        <v>12</v>
      </c>
      <c r="K5" s="10">
        <v>2</v>
      </c>
      <c r="L5" s="1">
        <f t="shared" si="0"/>
        <v>0</v>
      </c>
      <c r="M5" s="2">
        <f>L5/M1*100</f>
        <v>0</v>
      </c>
      <c r="N5" s="7">
        <v>19.5</v>
      </c>
      <c r="O5" s="7" t="e">
        <f t="shared" si="1"/>
        <v>#VALUE!</v>
      </c>
    </row>
    <row r="6" spans="1:15" ht="15.75" customHeight="1" x14ac:dyDescent="0.2">
      <c r="A6" s="19">
        <v>45746</v>
      </c>
      <c r="B6" s="9">
        <v>0.68402777777777779</v>
      </c>
      <c r="C6" s="10">
        <v>0</v>
      </c>
      <c r="D6" s="10">
        <v>9</v>
      </c>
      <c r="E6" s="10">
        <v>3</v>
      </c>
      <c r="F6" s="10">
        <v>0</v>
      </c>
      <c r="G6" s="10">
        <v>12</v>
      </c>
      <c r="H6" s="10">
        <v>1</v>
      </c>
      <c r="I6" s="10">
        <v>0</v>
      </c>
      <c r="J6" s="10">
        <v>13</v>
      </c>
      <c r="K6" s="10">
        <v>1</v>
      </c>
      <c r="L6" s="1">
        <f t="shared" si="0"/>
        <v>0</v>
      </c>
      <c r="M6" s="2">
        <f>L6/M1*100</f>
        <v>0</v>
      </c>
      <c r="N6" s="7">
        <v>24.83</v>
      </c>
      <c r="O6" s="7" t="e">
        <f t="shared" si="1"/>
        <v>#VALUE!</v>
      </c>
    </row>
    <row r="7" spans="1:15" ht="15.75" customHeight="1" x14ac:dyDescent="0.2">
      <c r="A7" s="19">
        <v>45746</v>
      </c>
      <c r="B7" s="9">
        <v>0.95972222222222225</v>
      </c>
      <c r="C7" s="10">
        <v>0</v>
      </c>
      <c r="D7" s="10">
        <v>9</v>
      </c>
      <c r="E7" s="10">
        <v>3</v>
      </c>
      <c r="F7" s="10">
        <v>0</v>
      </c>
      <c r="G7" s="10">
        <v>12</v>
      </c>
      <c r="H7" s="10">
        <v>1</v>
      </c>
      <c r="I7" s="10">
        <v>0</v>
      </c>
      <c r="J7" s="10">
        <v>13</v>
      </c>
      <c r="K7" s="10">
        <v>1</v>
      </c>
      <c r="L7" s="1">
        <f t="shared" si="0"/>
        <v>0</v>
      </c>
      <c r="M7" s="2">
        <f>L7/M1*100</f>
        <v>0</v>
      </c>
      <c r="N7" s="7">
        <v>32.83</v>
      </c>
      <c r="O7" s="7" t="e">
        <f t="shared" si="1"/>
        <v>#VALUE!</v>
      </c>
    </row>
    <row r="8" spans="1:15" ht="15.75" customHeight="1" x14ac:dyDescent="0.2">
      <c r="A8" s="19">
        <v>45747</v>
      </c>
      <c r="B8" s="9">
        <v>0.39583333333333331</v>
      </c>
      <c r="C8" s="10">
        <v>0</v>
      </c>
      <c r="D8" s="10">
        <v>9</v>
      </c>
      <c r="E8" s="10">
        <v>3</v>
      </c>
      <c r="F8" s="10">
        <v>0</v>
      </c>
      <c r="G8" s="10">
        <v>12</v>
      </c>
      <c r="H8" s="10">
        <v>1</v>
      </c>
      <c r="I8" s="10">
        <v>0</v>
      </c>
      <c r="J8" s="10">
        <v>13</v>
      </c>
      <c r="K8" s="10">
        <v>1</v>
      </c>
      <c r="L8" s="1">
        <f t="shared" si="0"/>
        <v>0</v>
      </c>
      <c r="M8" s="2">
        <f>L8/M1*100</f>
        <v>0</v>
      </c>
      <c r="N8" s="7">
        <v>42.83</v>
      </c>
      <c r="O8" s="7" t="e">
        <f t="shared" si="1"/>
        <v>#VALUE!</v>
      </c>
    </row>
    <row r="9" spans="1:15" ht="15.75" customHeight="1" x14ac:dyDescent="0.2">
      <c r="A9" s="19">
        <v>45747</v>
      </c>
      <c r="B9" s="9">
        <v>0.7006944444444444</v>
      </c>
      <c r="C9" s="10">
        <v>0</v>
      </c>
      <c r="D9" s="10">
        <v>10</v>
      </c>
      <c r="E9" s="10">
        <v>2</v>
      </c>
      <c r="F9" s="10">
        <v>0</v>
      </c>
      <c r="G9" s="10">
        <v>12</v>
      </c>
      <c r="H9" s="10">
        <v>1</v>
      </c>
      <c r="I9" s="10">
        <v>0</v>
      </c>
      <c r="J9" s="10">
        <v>14</v>
      </c>
      <c r="K9" s="10">
        <v>0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9">
        <v>45748</v>
      </c>
      <c r="B10" s="9">
        <v>3.125E-2</v>
      </c>
      <c r="C10" s="10">
        <v>0</v>
      </c>
      <c r="D10" s="10">
        <v>10</v>
      </c>
      <c r="E10" s="10">
        <v>2</v>
      </c>
      <c r="F10" s="10">
        <v>0</v>
      </c>
      <c r="G10" s="10">
        <v>12</v>
      </c>
      <c r="H10" s="10">
        <v>1</v>
      </c>
      <c r="I10" s="10">
        <v>0</v>
      </c>
      <c r="J10" s="10">
        <v>14</v>
      </c>
      <c r="K10" s="10">
        <v>0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 t="s">
        <v>15</v>
      </c>
      <c r="F11" s="10"/>
      <c r="G11" s="10"/>
      <c r="H11" s="10" t="s">
        <v>15</v>
      </c>
      <c r="I11" s="10"/>
      <c r="J11" s="10"/>
      <c r="K11" s="10" t="s">
        <v>15</v>
      </c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65</v>
      </c>
      <c r="D1" s="29"/>
      <c r="E1" s="28"/>
      <c r="F1" s="27" t="s">
        <v>66</v>
      </c>
      <c r="G1" s="29"/>
      <c r="H1" s="28"/>
      <c r="I1" s="27" t="s">
        <v>67</v>
      </c>
      <c r="J1" s="29"/>
      <c r="K1" s="28"/>
      <c r="L1" s="1" t="s">
        <v>4</v>
      </c>
      <c r="M1" s="1">
        <f>AVERAGE(C3,F3,I3)</f>
        <v>7.333333333333333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19">
        <v>45745</v>
      </c>
      <c r="B3" s="9">
        <v>0.58333333333333337</v>
      </c>
      <c r="C3" s="10">
        <v>7</v>
      </c>
      <c r="D3" s="10">
        <v>0</v>
      </c>
      <c r="E3" s="10">
        <v>0</v>
      </c>
      <c r="F3" s="10">
        <v>7</v>
      </c>
      <c r="G3" s="10">
        <v>0</v>
      </c>
      <c r="H3" s="10">
        <v>0</v>
      </c>
      <c r="I3" s="10">
        <v>8</v>
      </c>
      <c r="J3" s="10">
        <v>0</v>
      </c>
      <c r="K3" s="10">
        <v>0</v>
      </c>
      <c r="L3" s="1">
        <f t="shared" ref="L3:L10" si="0">AVERAGE(C3,F3,I3)</f>
        <v>7.333333333333333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19">
        <v>45745</v>
      </c>
      <c r="B4" s="9">
        <v>0.99305555555555558</v>
      </c>
      <c r="C4" s="10">
        <v>5</v>
      </c>
      <c r="D4" s="10">
        <v>1</v>
      </c>
      <c r="E4" s="10">
        <v>1</v>
      </c>
      <c r="F4" s="10">
        <v>5</v>
      </c>
      <c r="G4" s="10">
        <v>0</v>
      </c>
      <c r="H4" s="10">
        <v>2</v>
      </c>
      <c r="I4" s="10">
        <v>5</v>
      </c>
      <c r="J4" s="10">
        <v>1</v>
      </c>
      <c r="K4" s="10">
        <v>2</v>
      </c>
      <c r="L4" s="1">
        <f t="shared" si="0"/>
        <v>5</v>
      </c>
      <c r="M4" s="2">
        <f>L4/M1*100</f>
        <v>68.181818181818187</v>
      </c>
      <c r="N4" s="7">
        <v>9</v>
      </c>
      <c r="O4" s="7">
        <f t="shared" ref="O4:O10" si="1">O3+TEXT(B4-B3,"h")</f>
        <v>9</v>
      </c>
    </row>
    <row r="5" spans="1:15" ht="15.75" customHeight="1" x14ac:dyDescent="0.2">
      <c r="A5" s="19">
        <v>45746</v>
      </c>
      <c r="B5" s="9">
        <v>0.44097222222222221</v>
      </c>
      <c r="C5" s="10">
        <v>0</v>
      </c>
      <c r="D5" s="10">
        <v>6</v>
      </c>
      <c r="E5" s="10">
        <v>1</v>
      </c>
      <c r="F5" s="10">
        <v>2</v>
      </c>
      <c r="G5" s="10">
        <v>4</v>
      </c>
      <c r="H5" s="10">
        <v>1</v>
      </c>
      <c r="I5" s="10">
        <v>4</v>
      </c>
      <c r="J5" s="10">
        <v>2</v>
      </c>
      <c r="K5" s="10">
        <v>2</v>
      </c>
      <c r="L5" s="1">
        <f t="shared" si="0"/>
        <v>2</v>
      </c>
      <c r="M5" s="2">
        <f>L5/M1*100</f>
        <v>27.272727272727277</v>
      </c>
      <c r="N5" s="7">
        <v>19.5</v>
      </c>
      <c r="O5" s="7" t="e">
        <f t="shared" si="1"/>
        <v>#VALUE!</v>
      </c>
    </row>
    <row r="6" spans="1:15" ht="15.75" customHeight="1" x14ac:dyDescent="0.2">
      <c r="A6" s="19">
        <v>45746</v>
      </c>
      <c r="B6" s="9">
        <v>0.6875</v>
      </c>
      <c r="C6" s="10">
        <v>0</v>
      </c>
      <c r="D6" s="10">
        <v>6</v>
      </c>
      <c r="E6" s="10">
        <v>1</v>
      </c>
      <c r="F6" s="10">
        <v>0</v>
      </c>
      <c r="G6" s="10">
        <v>6</v>
      </c>
      <c r="H6" s="10">
        <v>1</v>
      </c>
      <c r="I6" s="10">
        <v>0</v>
      </c>
      <c r="J6" s="10">
        <v>7</v>
      </c>
      <c r="K6" s="10">
        <v>1</v>
      </c>
      <c r="L6" s="1">
        <f t="shared" si="0"/>
        <v>0</v>
      </c>
      <c r="M6" s="2">
        <f>L6/M1*100</f>
        <v>0</v>
      </c>
      <c r="N6" s="7">
        <v>24.83</v>
      </c>
      <c r="O6" s="7" t="e">
        <f t="shared" si="1"/>
        <v>#VALUE!</v>
      </c>
    </row>
    <row r="7" spans="1:15" ht="15.75" customHeight="1" x14ac:dyDescent="0.2">
      <c r="A7" s="19">
        <v>45746</v>
      </c>
      <c r="B7" s="9">
        <v>0.96319444444444446</v>
      </c>
      <c r="C7" s="10">
        <v>0</v>
      </c>
      <c r="D7" s="10">
        <v>6</v>
      </c>
      <c r="E7" s="10">
        <v>1</v>
      </c>
      <c r="F7" s="10">
        <v>0</v>
      </c>
      <c r="G7" s="10">
        <v>6</v>
      </c>
      <c r="H7" s="10">
        <v>1</v>
      </c>
      <c r="I7" s="10">
        <v>0</v>
      </c>
      <c r="J7" s="10">
        <v>7</v>
      </c>
      <c r="K7" s="10">
        <v>1</v>
      </c>
      <c r="L7" s="1">
        <f t="shared" si="0"/>
        <v>0</v>
      </c>
      <c r="M7" s="2">
        <f>L7/M1*100</f>
        <v>0</v>
      </c>
      <c r="N7" s="7">
        <v>32.83</v>
      </c>
      <c r="O7" s="7" t="e">
        <f t="shared" si="1"/>
        <v>#VALUE!</v>
      </c>
    </row>
    <row r="8" spans="1:15" ht="15.75" customHeight="1" x14ac:dyDescent="0.2">
      <c r="A8" s="19">
        <v>45747</v>
      </c>
      <c r="B8" s="9">
        <v>0.39861111111111114</v>
      </c>
      <c r="C8" s="10">
        <v>0</v>
      </c>
      <c r="D8" s="10">
        <v>6</v>
      </c>
      <c r="E8" s="10">
        <v>1</v>
      </c>
      <c r="F8" s="10">
        <v>0</v>
      </c>
      <c r="G8" s="10">
        <v>6</v>
      </c>
      <c r="H8" s="10">
        <v>1</v>
      </c>
      <c r="I8" s="10">
        <v>0</v>
      </c>
      <c r="J8" s="10">
        <v>7</v>
      </c>
      <c r="K8" s="10">
        <v>1</v>
      </c>
      <c r="L8" s="1">
        <f t="shared" si="0"/>
        <v>0</v>
      </c>
      <c r="M8" s="2">
        <f>L8/M1*100</f>
        <v>0</v>
      </c>
      <c r="N8" s="7">
        <v>42.83</v>
      </c>
      <c r="O8" s="7" t="e">
        <f t="shared" si="1"/>
        <v>#VALUE!</v>
      </c>
    </row>
    <row r="9" spans="1:15" ht="15.75" customHeight="1" x14ac:dyDescent="0.2">
      <c r="A9" s="19">
        <v>45747</v>
      </c>
      <c r="B9" s="9">
        <v>0.71180555555555558</v>
      </c>
      <c r="C9" s="10">
        <v>0</v>
      </c>
      <c r="D9" s="10">
        <v>7</v>
      </c>
      <c r="E9" s="10">
        <v>0</v>
      </c>
      <c r="F9" s="10">
        <v>0</v>
      </c>
      <c r="G9" s="10">
        <v>7</v>
      </c>
      <c r="H9" s="10">
        <v>0</v>
      </c>
      <c r="I9" s="10">
        <v>0</v>
      </c>
      <c r="J9" s="10">
        <v>7</v>
      </c>
      <c r="K9" s="10">
        <v>1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9">
        <v>45748</v>
      </c>
      <c r="B10" s="9">
        <v>3.3333333333333333E-2</v>
      </c>
      <c r="C10" s="10">
        <v>0</v>
      </c>
      <c r="D10" s="10">
        <v>7</v>
      </c>
      <c r="E10" s="10">
        <v>0</v>
      </c>
      <c r="F10" s="10">
        <v>0</v>
      </c>
      <c r="G10" s="10">
        <v>7</v>
      </c>
      <c r="H10" s="10">
        <v>0</v>
      </c>
      <c r="I10" s="10">
        <v>0</v>
      </c>
      <c r="J10" s="10">
        <v>8</v>
      </c>
      <c r="K10" s="10">
        <v>0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/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68</v>
      </c>
      <c r="D1" s="29"/>
      <c r="E1" s="28"/>
      <c r="F1" s="27" t="s">
        <v>69</v>
      </c>
      <c r="G1" s="29"/>
      <c r="H1" s="28"/>
      <c r="I1" s="27" t="s">
        <v>70</v>
      </c>
      <c r="J1" s="29"/>
      <c r="K1" s="28"/>
      <c r="L1" s="1" t="s">
        <v>4</v>
      </c>
      <c r="M1" s="1">
        <f>AVERAGE(C3,F3,I3)</f>
        <v>9.6666666666666661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19">
        <v>45745</v>
      </c>
      <c r="B3" s="9">
        <v>0.60416666666666663</v>
      </c>
      <c r="C3" s="10">
        <v>10</v>
      </c>
      <c r="D3" s="10">
        <v>0</v>
      </c>
      <c r="E3" s="10">
        <v>0</v>
      </c>
      <c r="F3" s="10">
        <v>9</v>
      </c>
      <c r="G3" s="10">
        <v>0</v>
      </c>
      <c r="H3" s="10">
        <v>0</v>
      </c>
      <c r="I3" s="10">
        <v>10</v>
      </c>
      <c r="J3" s="10">
        <v>0</v>
      </c>
      <c r="K3" s="10">
        <v>0</v>
      </c>
      <c r="L3" s="1">
        <f t="shared" ref="L3:L10" si="0">AVERAGE(C3,F3,I3)</f>
        <v>9.6666666666666661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19">
        <v>45746</v>
      </c>
      <c r="B4" s="9">
        <v>0</v>
      </c>
      <c r="C4" s="10">
        <v>8</v>
      </c>
      <c r="D4" s="10">
        <v>0</v>
      </c>
      <c r="E4" s="10">
        <v>2</v>
      </c>
      <c r="F4" s="10">
        <v>4</v>
      </c>
      <c r="G4" s="10">
        <v>1</v>
      </c>
      <c r="H4" s="10">
        <v>4</v>
      </c>
      <c r="I4" s="10">
        <v>6</v>
      </c>
      <c r="J4" s="10">
        <v>0</v>
      </c>
      <c r="K4" s="10">
        <v>4</v>
      </c>
      <c r="L4" s="1">
        <f t="shared" si="0"/>
        <v>6</v>
      </c>
      <c r="M4" s="2">
        <f>L4/M1*100</f>
        <v>62.068965517241381</v>
      </c>
      <c r="N4" s="7">
        <v>9</v>
      </c>
      <c r="O4" s="7" t="e">
        <f t="shared" ref="O4:O10" si="1">O3+TEXT(B4-B3,"h")</f>
        <v>#VALUE!</v>
      </c>
    </row>
    <row r="5" spans="1:15" ht="15.75" customHeight="1" x14ac:dyDescent="0.2">
      <c r="A5" s="19">
        <v>45746</v>
      </c>
      <c r="B5" s="9">
        <v>0.4548611111111111</v>
      </c>
      <c r="C5" s="10">
        <v>0</v>
      </c>
      <c r="D5" s="10">
        <v>7</v>
      </c>
      <c r="E5" s="10">
        <v>3</v>
      </c>
      <c r="F5" s="10">
        <v>0</v>
      </c>
      <c r="G5" s="10">
        <v>5</v>
      </c>
      <c r="H5" s="10">
        <v>4</v>
      </c>
      <c r="I5" s="10">
        <v>2</v>
      </c>
      <c r="J5" s="10">
        <v>5</v>
      </c>
      <c r="K5" s="10">
        <v>3</v>
      </c>
      <c r="L5" s="1">
        <f t="shared" si="0"/>
        <v>0.66666666666666663</v>
      </c>
      <c r="M5" s="2">
        <f>L5/M1*100</f>
        <v>6.8965517241379306</v>
      </c>
      <c r="N5" s="7">
        <v>19.5</v>
      </c>
      <c r="O5" s="7" t="e">
        <f t="shared" si="1"/>
        <v>#VALUE!</v>
      </c>
    </row>
    <row r="6" spans="1:15" ht="15.75" customHeight="1" x14ac:dyDescent="0.2">
      <c r="A6" s="19">
        <v>45746</v>
      </c>
      <c r="B6" s="9">
        <v>0.69305555555555554</v>
      </c>
      <c r="C6" s="10">
        <v>0</v>
      </c>
      <c r="D6" s="10">
        <v>8</v>
      </c>
      <c r="E6" s="10">
        <v>2</v>
      </c>
      <c r="F6" s="10">
        <v>0</v>
      </c>
      <c r="G6" s="10">
        <v>5</v>
      </c>
      <c r="H6" s="10">
        <v>4</v>
      </c>
      <c r="I6" s="10">
        <v>0</v>
      </c>
      <c r="J6" s="10">
        <v>8</v>
      </c>
      <c r="K6" s="10">
        <v>2</v>
      </c>
      <c r="L6" s="1">
        <f t="shared" si="0"/>
        <v>0</v>
      </c>
      <c r="M6" s="2">
        <f>L6/M1*100</f>
        <v>0</v>
      </c>
      <c r="N6" s="7">
        <v>24.83</v>
      </c>
      <c r="O6" s="7" t="e">
        <f t="shared" si="1"/>
        <v>#VALUE!</v>
      </c>
    </row>
    <row r="7" spans="1:15" ht="15.75" customHeight="1" x14ac:dyDescent="0.2">
      <c r="A7" s="19">
        <v>45746</v>
      </c>
      <c r="B7" s="9">
        <v>0.96527777777777779</v>
      </c>
      <c r="C7" s="10">
        <v>0</v>
      </c>
      <c r="D7" s="10">
        <v>8</v>
      </c>
      <c r="E7" s="10">
        <v>2</v>
      </c>
      <c r="F7" s="10">
        <v>0</v>
      </c>
      <c r="G7" s="10">
        <v>5</v>
      </c>
      <c r="H7" s="10">
        <v>4</v>
      </c>
      <c r="I7" s="10">
        <v>0</v>
      </c>
      <c r="J7" s="10">
        <v>8</v>
      </c>
      <c r="K7" s="10">
        <v>2</v>
      </c>
      <c r="L7" s="1">
        <f t="shared" si="0"/>
        <v>0</v>
      </c>
      <c r="M7" s="2">
        <f>L7/M1*100</f>
        <v>0</v>
      </c>
      <c r="N7" s="7">
        <v>32.83</v>
      </c>
      <c r="O7" s="7" t="e">
        <f t="shared" si="1"/>
        <v>#VALUE!</v>
      </c>
    </row>
    <row r="8" spans="1:15" ht="15.75" customHeight="1" x14ac:dyDescent="0.2">
      <c r="A8" s="19">
        <v>45747</v>
      </c>
      <c r="B8" s="9">
        <v>0.40069444444444446</v>
      </c>
      <c r="C8" s="10">
        <v>0</v>
      </c>
      <c r="D8" s="10">
        <v>8</v>
      </c>
      <c r="E8" s="10">
        <v>2</v>
      </c>
      <c r="F8" s="10">
        <v>0</v>
      </c>
      <c r="G8" s="10">
        <v>5</v>
      </c>
      <c r="H8" s="10">
        <v>4</v>
      </c>
      <c r="I8" s="10">
        <v>0</v>
      </c>
      <c r="J8" s="10">
        <v>8</v>
      </c>
      <c r="K8" s="10">
        <v>2</v>
      </c>
      <c r="L8" s="1">
        <f t="shared" si="0"/>
        <v>0</v>
      </c>
      <c r="M8" s="2">
        <f>L8/M1*100</f>
        <v>0</v>
      </c>
      <c r="N8" s="7">
        <v>42.83</v>
      </c>
      <c r="O8" s="7" t="e">
        <f t="shared" si="1"/>
        <v>#VALUE!</v>
      </c>
    </row>
    <row r="9" spans="1:15" ht="15.75" customHeight="1" x14ac:dyDescent="0.2">
      <c r="A9" s="19">
        <v>45747</v>
      </c>
      <c r="B9" s="9">
        <v>0.71527777777777779</v>
      </c>
      <c r="C9" s="10">
        <v>0</v>
      </c>
      <c r="D9" s="10">
        <v>10</v>
      </c>
      <c r="E9" s="10">
        <v>0</v>
      </c>
      <c r="F9" s="10">
        <v>0</v>
      </c>
      <c r="G9" s="10">
        <v>9</v>
      </c>
      <c r="H9" s="10">
        <v>0</v>
      </c>
      <c r="I9" s="10">
        <v>0</v>
      </c>
      <c r="J9" s="10">
        <v>10</v>
      </c>
      <c r="K9" s="10">
        <v>0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9">
        <v>45748</v>
      </c>
      <c r="B10" s="9">
        <v>3.5416666666666666E-2</v>
      </c>
      <c r="C10" s="10">
        <v>0</v>
      </c>
      <c r="D10" s="10">
        <v>10</v>
      </c>
      <c r="E10" s="10">
        <v>0</v>
      </c>
      <c r="F10" s="10">
        <v>0</v>
      </c>
      <c r="G10" s="10">
        <v>9</v>
      </c>
      <c r="H10" s="10">
        <v>0</v>
      </c>
      <c r="I10" s="10">
        <v>0</v>
      </c>
      <c r="J10" s="10">
        <v>10</v>
      </c>
      <c r="K10" s="10">
        <v>0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/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30"/>
      <c r="C1" s="27" t="s">
        <v>71</v>
      </c>
      <c r="D1" s="29"/>
      <c r="E1" s="28"/>
      <c r="F1" s="27" t="s">
        <v>72</v>
      </c>
      <c r="G1" s="29"/>
      <c r="H1" s="28"/>
      <c r="I1" s="27" t="s">
        <v>73</v>
      </c>
      <c r="J1" s="29"/>
      <c r="K1" s="28"/>
      <c r="L1" s="1" t="s">
        <v>4</v>
      </c>
      <c r="M1" s="1">
        <f>AVERAGE(C3,F3,I3)</f>
        <v>6.333333333333333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19">
        <v>45745</v>
      </c>
      <c r="B3" s="9">
        <v>0.58333333333333337</v>
      </c>
      <c r="C3" s="10">
        <v>7</v>
      </c>
      <c r="D3" s="10">
        <v>0</v>
      </c>
      <c r="E3" s="10">
        <v>0</v>
      </c>
      <c r="F3" s="10">
        <v>7</v>
      </c>
      <c r="G3" s="10">
        <v>0</v>
      </c>
      <c r="H3" s="10">
        <v>0</v>
      </c>
      <c r="I3" s="10">
        <v>5</v>
      </c>
      <c r="J3" s="10">
        <v>0</v>
      </c>
      <c r="K3" s="10">
        <v>0</v>
      </c>
      <c r="L3" s="1">
        <f t="shared" ref="L3:L10" si="0">AVERAGE(C3,F3,I3)</f>
        <v>6.333333333333333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19">
        <v>45746</v>
      </c>
      <c r="B4" s="9">
        <v>6.9444444444444441E-3</v>
      </c>
      <c r="C4" s="10">
        <v>4</v>
      </c>
      <c r="D4" s="10">
        <v>0</v>
      </c>
      <c r="E4" s="10">
        <v>3</v>
      </c>
      <c r="F4" s="10">
        <v>6</v>
      </c>
      <c r="G4" s="10">
        <v>1</v>
      </c>
      <c r="H4" s="10">
        <v>0</v>
      </c>
      <c r="I4" s="10">
        <v>2</v>
      </c>
      <c r="J4" s="10">
        <v>0</v>
      </c>
      <c r="K4" s="10">
        <v>3</v>
      </c>
      <c r="L4" s="1">
        <f t="shared" si="0"/>
        <v>4</v>
      </c>
      <c r="M4" s="2">
        <f>L4/M1*100</f>
        <v>63.15789473684211</v>
      </c>
      <c r="N4" s="7">
        <v>9</v>
      </c>
      <c r="O4" s="7" t="e">
        <f t="shared" ref="O4:O10" si="1">O3+TEXT(B4-B3,"h")</f>
        <v>#VALUE!</v>
      </c>
    </row>
    <row r="5" spans="1:15" ht="15.75" customHeight="1" x14ac:dyDescent="0.2">
      <c r="A5" s="19">
        <v>45746</v>
      </c>
      <c r="B5" s="9">
        <v>0.46319444444444446</v>
      </c>
      <c r="C5" s="10">
        <v>4</v>
      </c>
      <c r="D5" s="10">
        <v>0</v>
      </c>
      <c r="E5" s="10">
        <v>3</v>
      </c>
      <c r="F5" s="10">
        <v>2</v>
      </c>
      <c r="G5" s="10">
        <v>4</v>
      </c>
      <c r="H5" s="10">
        <v>1</v>
      </c>
      <c r="I5" s="10">
        <v>2</v>
      </c>
      <c r="J5" s="10">
        <v>0</v>
      </c>
      <c r="K5" s="10">
        <v>3</v>
      </c>
      <c r="L5" s="1">
        <f t="shared" si="0"/>
        <v>2.6666666666666665</v>
      </c>
      <c r="M5" s="2">
        <f>L5/M1*100</f>
        <v>42.105263157894733</v>
      </c>
      <c r="N5" s="7">
        <v>19.5</v>
      </c>
      <c r="O5" s="7" t="e">
        <f t="shared" si="1"/>
        <v>#VALUE!</v>
      </c>
    </row>
    <row r="6" spans="1:15" ht="15.75" customHeight="1" x14ac:dyDescent="0.2">
      <c r="A6" s="19">
        <v>45746</v>
      </c>
      <c r="B6" s="9">
        <v>0.69861111111111107</v>
      </c>
      <c r="C6" s="10">
        <v>0</v>
      </c>
      <c r="D6" s="10">
        <v>5</v>
      </c>
      <c r="E6" s="10">
        <v>2</v>
      </c>
      <c r="F6" s="10">
        <v>0</v>
      </c>
      <c r="G6" s="10">
        <v>7</v>
      </c>
      <c r="H6" s="10">
        <v>0</v>
      </c>
      <c r="I6" s="10">
        <v>0</v>
      </c>
      <c r="J6" s="10">
        <v>2</v>
      </c>
      <c r="K6" s="10">
        <v>3</v>
      </c>
      <c r="L6" s="1">
        <f t="shared" si="0"/>
        <v>0</v>
      </c>
      <c r="M6" s="2">
        <f>L6/M1*100</f>
        <v>0</v>
      </c>
      <c r="N6" s="7">
        <v>24.83</v>
      </c>
      <c r="O6" s="7" t="e">
        <f t="shared" si="1"/>
        <v>#VALUE!</v>
      </c>
    </row>
    <row r="7" spans="1:15" ht="15.75" customHeight="1" x14ac:dyDescent="0.2">
      <c r="A7" s="19">
        <v>45746</v>
      </c>
      <c r="B7" s="9">
        <v>0.96805555555555556</v>
      </c>
      <c r="C7" s="10">
        <v>0</v>
      </c>
      <c r="D7" s="10">
        <v>5</v>
      </c>
      <c r="E7" s="10">
        <v>2</v>
      </c>
      <c r="F7" s="10">
        <v>0</v>
      </c>
      <c r="G7" s="10">
        <v>7</v>
      </c>
      <c r="H7" s="10">
        <v>0</v>
      </c>
      <c r="I7" s="10">
        <v>0</v>
      </c>
      <c r="J7" s="10">
        <v>3</v>
      </c>
      <c r="K7" s="10">
        <v>2</v>
      </c>
      <c r="L7" s="1">
        <f t="shared" si="0"/>
        <v>0</v>
      </c>
      <c r="M7" s="2">
        <f>L7/M1*100</f>
        <v>0</v>
      </c>
      <c r="N7" s="7">
        <v>32.83</v>
      </c>
      <c r="O7" s="7" t="e">
        <f t="shared" si="1"/>
        <v>#VALUE!</v>
      </c>
    </row>
    <row r="8" spans="1:15" ht="15.75" customHeight="1" x14ac:dyDescent="0.2">
      <c r="A8" s="19">
        <v>45747</v>
      </c>
      <c r="B8" s="9">
        <v>0.40416666666666667</v>
      </c>
      <c r="C8" s="10">
        <v>0</v>
      </c>
      <c r="D8" s="10">
        <v>5</v>
      </c>
      <c r="E8" s="10">
        <v>2</v>
      </c>
      <c r="F8" s="10">
        <v>0</v>
      </c>
      <c r="G8" s="10">
        <v>7</v>
      </c>
      <c r="H8" s="10">
        <v>0</v>
      </c>
      <c r="I8" s="10">
        <v>0</v>
      </c>
      <c r="J8" s="10">
        <v>3</v>
      </c>
      <c r="K8" s="10">
        <v>2</v>
      </c>
      <c r="L8" s="1">
        <f t="shared" si="0"/>
        <v>0</v>
      </c>
      <c r="M8" s="2">
        <f>L8/M1*100</f>
        <v>0</v>
      </c>
      <c r="N8" s="7">
        <v>42.83</v>
      </c>
      <c r="O8" s="7" t="e">
        <f t="shared" si="1"/>
        <v>#VALUE!</v>
      </c>
    </row>
    <row r="9" spans="1:15" ht="15.75" customHeight="1" x14ac:dyDescent="0.2">
      <c r="A9" s="19">
        <v>45747</v>
      </c>
      <c r="B9" s="9">
        <v>0.71944444444444444</v>
      </c>
      <c r="C9" s="10">
        <v>0</v>
      </c>
      <c r="D9" s="10">
        <v>6</v>
      </c>
      <c r="E9" s="10">
        <v>1</v>
      </c>
      <c r="F9" s="10">
        <v>0</v>
      </c>
      <c r="G9" s="10">
        <v>7</v>
      </c>
      <c r="H9" s="10">
        <v>0</v>
      </c>
      <c r="I9" s="10">
        <v>0</v>
      </c>
      <c r="J9" s="10">
        <v>5</v>
      </c>
      <c r="K9" s="10">
        <v>0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9">
        <v>45748</v>
      </c>
      <c r="B10" s="9">
        <v>3.5416666666666666E-2</v>
      </c>
      <c r="C10" s="10">
        <v>0</v>
      </c>
      <c r="D10" s="10">
        <v>6</v>
      </c>
      <c r="E10" s="10">
        <v>1</v>
      </c>
      <c r="F10" s="10">
        <v>0</v>
      </c>
      <c r="G10" s="10">
        <v>7</v>
      </c>
      <c r="H10" s="10">
        <v>0</v>
      </c>
      <c r="I10" s="10">
        <v>0</v>
      </c>
      <c r="J10" s="10">
        <v>5</v>
      </c>
      <c r="K10" s="10">
        <v>0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 t="s">
        <v>15</v>
      </c>
      <c r="F11" s="10"/>
      <c r="G11" s="10"/>
      <c r="H11" s="10"/>
      <c r="I11" s="10"/>
      <c r="J11" s="10"/>
      <c r="K11" s="10"/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1000"/>
  <sheetViews>
    <sheetView workbookViewId="0">
      <selection activeCell="M3" sqref="M3:N10"/>
    </sheetView>
  </sheetViews>
  <sheetFormatPr defaultColWidth="12.5703125" defaultRowHeight="15" customHeight="1" x14ac:dyDescent="0.2"/>
  <cols>
    <col min="1" max="6" width="12.5703125" customWidth="1"/>
  </cols>
  <sheetData>
    <row r="1" spans="1:15" ht="15.75" customHeight="1" x14ac:dyDescent="0.2">
      <c r="A1" s="27" t="s">
        <v>0</v>
      </c>
      <c r="B1" s="28"/>
      <c r="C1" s="27" t="s">
        <v>74</v>
      </c>
      <c r="D1" s="29"/>
      <c r="E1" s="28"/>
      <c r="F1" s="27" t="s">
        <v>75</v>
      </c>
      <c r="G1" s="29"/>
      <c r="H1" s="28"/>
      <c r="I1" s="27" t="s">
        <v>76</v>
      </c>
      <c r="J1" s="29"/>
      <c r="K1" s="28"/>
      <c r="L1" s="1" t="s">
        <v>4</v>
      </c>
      <c r="M1" s="1">
        <f>AVERAGE(C3,F3,I3)</f>
        <v>10</v>
      </c>
    </row>
    <row r="2" spans="1:15" ht="15.75" customHeight="1" x14ac:dyDescent="0.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  <c r="L2" s="5" t="s">
        <v>11</v>
      </c>
      <c r="M2" s="14" t="s">
        <v>12</v>
      </c>
      <c r="N2" s="5" t="s">
        <v>13</v>
      </c>
      <c r="O2" s="7" t="s">
        <v>14</v>
      </c>
    </row>
    <row r="3" spans="1:15" ht="15.75" customHeight="1" x14ac:dyDescent="0.2">
      <c r="A3" s="8">
        <v>45745</v>
      </c>
      <c r="B3" s="9">
        <v>0.58333333333333337</v>
      </c>
      <c r="C3" s="10">
        <v>10</v>
      </c>
      <c r="D3" s="10">
        <v>0</v>
      </c>
      <c r="E3" s="10">
        <v>0</v>
      </c>
      <c r="F3" s="10">
        <v>10</v>
      </c>
      <c r="G3" s="10">
        <v>0</v>
      </c>
      <c r="H3" s="10">
        <v>0</v>
      </c>
      <c r="I3" s="10">
        <v>10</v>
      </c>
      <c r="J3" s="10">
        <v>0</v>
      </c>
      <c r="K3" s="10">
        <v>0</v>
      </c>
      <c r="L3" s="1">
        <f t="shared" ref="L3:L10" si="0">AVERAGE(C3,F3,I3)</f>
        <v>10</v>
      </c>
      <c r="M3" s="2">
        <f>L3/M1*100</f>
        <v>100</v>
      </c>
      <c r="N3" s="7">
        <v>0</v>
      </c>
      <c r="O3" s="7" t="str">
        <f>TEXT(B3-B3,"h")</f>
        <v>0</v>
      </c>
    </row>
    <row r="4" spans="1:15" ht="15.75" customHeight="1" x14ac:dyDescent="0.2">
      <c r="A4" s="8">
        <v>45745</v>
      </c>
      <c r="B4" s="9">
        <v>9.0277777777777769E-3</v>
      </c>
      <c r="C4" s="10">
        <v>7</v>
      </c>
      <c r="D4" s="10">
        <v>2</v>
      </c>
      <c r="E4" s="10">
        <v>1</v>
      </c>
      <c r="F4" s="10">
        <v>4</v>
      </c>
      <c r="G4" s="10">
        <v>2</v>
      </c>
      <c r="H4" s="10">
        <v>4</v>
      </c>
      <c r="I4" s="10">
        <v>3</v>
      </c>
      <c r="J4" s="10">
        <v>0</v>
      </c>
      <c r="K4" s="10">
        <v>7</v>
      </c>
      <c r="L4" s="1">
        <f t="shared" si="0"/>
        <v>4.666666666666667</v>
      </c>
      <c r="M4" s="2">
        <f>L4/M1*100</f>
        <v>46.666666666666664</v>
      </c>
      <c r="N4" s="7">
        <v>9</v>
      </c>
      <c r="O4" s="7" t="e">
        <f t="shared" ref="O4:O10" si="1">O3+TEXT(B4-B3,"h")</f>
        <v>#VALUE!</v>
      </c>
    </row>
    <row r="5" spans="1:15" ht="15.75" customHeight="1" x14ac:dyDescent="0.2">
      <c r="A5" s="8">
        <v>45746</v>
      </c>
      <c r="B5" s="9">
        <v>0.44583333333333336</v>
      </c>
      <c r="C5" s="10">
        <v>6</v>
      </c>
      <c r="D5" s="10">
        <v>3</v>
      </c>
      <c r="E5" s="10">
        <v>1</v>
      </c>
      <c r="F5" s="10">
        <v>5</v>
      </c>
      <c r="G5" s="10">
        <v>3</v>
      </c>
      <c r="H5" s="10">
        <v>2</v>
      </c>
      <c r="I5" s="10">
        <v>1</v>
      </c>
      <c r="J5" s="10">
        <v>1</v>
      </c>
      <c r="K5" s="10">
        <v>8</v>
      </c>
      <c r="L5" s="1">
        <f t="shared" si="0"/>
        <v>4</v>
      </c>
      <c r="M5" s="2">
        <f>L5/M1*100</f>
        <v>40</v>
      </c>
      <c r="N5" s="7">
        <v>19.5</v>
      </c>
      <c r="O5" s="7" t="e">
        <f t="shared" si="1"/>
        <v>#VALUE!</v>
      </c>
    </row>
    <row r="6" spans="1:15" ht="15.75" customHeight="1" x14ac:dyDescent="0.2">
      <c r="A6" s="8">
        <v>45746</v>
      </c>
      <c r="B6" s="9">
        <v>0.7055555555555556</v>
      </c>
      <c r="C6" s="10">
        <v>0</v>
      </c>
      <c r="D6" s="10">
        <v>9</v>
      </c>
      <c r="E6" s="10">
        <v>1</v>
      </c>
      <c r="F6" s="10">
        <v>0</v>
      </c>
      <c r="G6" s="10">
        <v>9</v>
      </c>
      <c r="H6" s="10">
        <v>1</v>
      </c>
      <c r="I6" s="10">
        <v>0</v>
      </c>
      <c r="J6" s="10">
        <v>4</v>
      </c>
      <c r="K6" s="10">
        <v>6</v>
      </c>
      <c r="L6" s="1">
        <f t="shared" si="0"/>
        <v>0</v>
      </c>
      <c r="M6" s="2">
        <f>L6/M1*100</f>
        <v>0</v>
      </c>
      <c r="N6" s="7">
        <v>24.83</v>
      </c>
      <c r="O6" s="7" t="e">
        <f t="shared" si="1"/>
        <v>#VALUE!</v>
      </c>
    </row>
    <row r="7" spans="1:15" ht="15.75" customHeight="1" x14ac:dyDescent="0.2">
      <c r="A7" s="8">
        <v>45746</v>
      </c>
      <c r="B7" s="9">
        <v>0.97222222222222221</v>
      </c>
      <c r="C7" s="10">
        <v>0</v>
      </c>
      <c r="D7" s="10">
        <v>9</v>
      </c>
      <c r="E7" s="10">
        <v>1</v>
      </c>
      <c r="F7" s="10">
        <v>0</v>
      </c>
      <c r="G7" s="10">
        <v>9</v>
      </c>
      <c r="H7" s="10">
        <v>1</v>
      </c>
      <c r="I7" s="10">
        <v>0</v>
      </c>
      <c r="J7" s="10">
        <v>4</v>
      </c>
      <c r="K7" s="10">
        <v>6</v>
      </c>
      <c r="L7" s="1">
        <f t="shared" si="0"/>
        <v>0</v>
      </c>
      <c r="M7" s="2">
        <f>L7/M1*100</f>
        <v>0</v>
      </c>
      <c r="N7" s="7">
        <v>32.83</v>
      </c>
      <c r="O7" s="7" t="e">
        <f t="shared" si="1"/>
        <v>#VALUE!</v>
      </c>
    </row>
    <row r="8" spans="1:15" ht="15.75" customHeight="1" x14ac:dyDescent="0.2">
      <c r="A8" s="8">
        <v>45747</v>
      </c>
      <c r="B8" s="9">
        <v>0.40694444444444444</v>
      </c>
      <c r="C8" s="10">
        <v>0</v>
      </c>
      <c r="D8" s="10">
        <v>9</v>
      </c>
      <c r="E8" s="10">
        <v>1</v>
      </c>
      <c r="F8" s="10">
        <v>0</v>
      </c>
      <c r="G8" s="10">
        <v>9</v>
      </c>
      <c r="H8" s="10">
        <v>1</v>
      </c>
      <c r="I8" s="10">
        <v>0</v>
      </c>
      <c r="J8" s="10">
        <v>4</v>
      </c>
      <c r="K8" s="10">
        <v>6</v>
      </c>
      <c r="L8" s="1">
        <f t="shared" si="0"/>
        <v>0</v>
      </c>
      <c r="M8" s="2">
        <f>L8/M1*100</f>
        <v>0</v>
      </c>
      <c r="N8" s="7">
        <v>42.83</v>
      </c>
      <c r="O8" s="7" t="e">
        <f t="shared" si="1"/>
        <v>#VALUE!</v>
      </c>
    </row>
    <row r="9" spans="1:15" ht="15.75" customHeight="1" x14ac:dyDescent="0.2">
      <c r="A9" s="8">
        <v>45747</v>
      </c>
      <c r="B9" s="9">
        <v>0.72222222222222221</v>
      </c>
      <c r="C9" s="10">
        <v>0</v>
      </c>
      <c r="D9" s="10">
        <v>10</v>
      </c>
      <c r="E9" s="10">
        <v>0</v>
      </c>
      <c r="F9" s="10">
        <v>0</v>
      </c>
      <c r="G9" s="10">
        <v>10</v>
      </c>
      <c r="H9" s="10">
        <v>0</v>
      </c>
      <c r="I9" s="10">
        <v>0</v>
      </c>
      <c r="J9" s="10">
        <v>8</v>
      </c>
      <c r="K9" s="10">
        <v>2</v>
      </c>
      <c r="L9" s="1">
        <f t="shared" si="0"/>
        <v>0</v>
      </c>
      <c r="M9" s="2">
        <f>L9/M1*100</f>
        <v>0</v>
      </c>
      <c r="N9" s="7">
        <v>49.58</v>
      </c>
      <c r="O9" s="7" t="e">
        <f t="shared" si="1"/>
        <v>#VALUE!</v>
      </c>
    </row>
    <row r="10" spans="1:15" ht="15.75" customHeight="1" x14ac:dyDescent="0.2">
      <c r="A10" s="11">
        <v>45748</v>
      </c>
      <c r="B10" s="9">
        <v>3.6111111111111108E-2</v>
      </c>
      <c r="C10" s="10">
        <v>0</v>
      </c>
      <c r="D10" s="10">
        <v>10</v>
      </c>
      <c r="E10" s="10">
        <v>0</v>
      </c>
      <c r="F10" s="10">
        <v>0</v>
      </c>
      <c r="G10" s="10">
        <v>10</v>
      </c>
      <c r="H10" s="10">
        <v>0</v>
      </c>
      <c r="I10" s="10">
        <v>0</v>
      </c>
      <c r="J10" s="10">
        <v>8</v>
      </c>
      <c r="K10" s="10">
        <v>2</v>
      </c>
      <c r="L10" s="1">
        <f t="shared" si="0"/>
        <v>0</v>
      </c>
      <c r="M10" s="2">
        <f>L10/M1*100</f>
        <v>0</v>
      </c>
      <c r="N10" s="7">
        <v>57.91</v>
      </c>
      <c r="O10" s="7" t="e">
        <f t="shared" si="1"/>
        <v>#VALUE!</v>
      </c>
    </row>
    <row r="11" spans="1:15" ht="15.75" customHeight="1" x14ac:dyDescent="0.2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 t="s">
        <v>15</v>
      </c>
    </row>
    <row r="12" spans="1:15" ht="15.75" customHeight="1" x14ac:dyDescent="0.2">
      <c r="A12" s="12"/>
      <c r="B12" s="12"/>
      <c r="C12" s="10"/>
      <c r="D12" s="10"/>
      <c r="E12" s="10"/>
      <c r="F12" s="10"/>
      <c r="G12" s="10"/>
      <c r="H12" s="10"/>
      <c r="I12" s="10"/>
      <c r="J12" s="10"/>
      <c r="K12" s="10"/>
    </row>
    <row r="13" spans="1:15" ht="15.75" customHeight="1" x14ac:dyDescent="0.2">
      <c r="A13" s="12"/>
      <c r="B13" s="12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.75" customHeight="1" x14ac:dyDescent="0.2">
      <c r="A14" s="12"/>
      <c r="B14" s="12"/>
      <c r="C14" s="10"/>
      <c r="D14" s="10"/>
      <c r="E14" s="10"/>
      <c r="F14" s="10"/>
      <c r="G14" s="10"/>
      <c r="H14" s="10"/>
      <c r="I14" s="10"/>
      <c r="J14" s="10"/>
      <c r="K14" s="10"/>
    </row>
    <row r="15" spans="1:15" ht="15.75" customHeight="1" x14ac:dyDescent="0.2">
      <c r="A15" s="12"/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spans="1:15" ht="15.75" customHeight="1" x14ac:dyDescent="0.2">
      <c r="A16" s="12"/>
      <c r="B16" s="12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.75" customHeight="1" x14ac:dyDescent="0.2">
      <c r="A17" s="12"/>
      <c r="B17" s="12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5.75" customHeight="1" x14ac:dyDescent="0.2">
      <c r="A18" s="12"/>
      <c r="B18" s="12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75" customHeight="1" x14ac:dyDescent="0.2">
      <c r="A19" s="12"/>
      <c r="B19" s="12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5.75" customHeight="1" x14ac:dyDescent="0.2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2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5.75" customHeight="1" x14ac:dyDescent="0.2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2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.75" customHeight="1" x14ac:dyDescent="0.2">
      <c r="A24" s="12"/>
      <c r="B24" s="12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.75" customHeight="1" x14ac:dyDescent="0.2">
      <c r="A25" s="12"/>
      <c r="B25" s="12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.75" customHeight="1" x14ac:dyDescent="0.2">
      <c r="A26" s="12"/>
      <c r="B26" s="12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 x14ac:dyDescent="0.2">
      <c r="A27" s="12"/>
      <c r="B27" s="12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 x14ac:dyDescent="0.2">
      <c r="A28" s="12"/>
      <c r="B28" s="12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2">
      <c r="A29" s="12"/>
      <c r="B29" s="12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 x14ac:dyDescent="0.2">
      <c r="A30" s="12"/>
      <c r="B30" s="12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 x14ac:dyDescent="0.2">
      <c r="A31" s="12"/>
      <c r="B31" s="12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2">
      <c r="A32" s="12"/>
      <c r="B32" s="12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 x14ac:dyDescent="0.2">
      <c r="A33" s="12"/>
      <c r="B33" s="12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2">
      <c r="A34" s="12"/>
      <c r="B34" s="12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 x14ac:dyDescent="0.2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 x14ac:dyDescent="0.2">
      <c r="A36" s="12"/>
      <c r="B36" s="12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2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 x14ac:dyDescent="0.2">
      <c r="A38" s="12"/>
      <c r="B38" s="12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 x14ac:dyDescent="0.2">
      <c r="A39" s="12"/>
      <c r="B39" s="12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2">
      <c r="A40" s="12"/>
      <c r="B40" s="12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 x14ac:dyDescent="0.2">
      <c r="A41" s="12"/>
      <c r="B41" s="12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 x14ac:dyDescent="0.2">
      <c r="A42" s="12"/>
      <c r="B42" s="12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 x14ac:dyDescent="0.2">
      <c r="A43" s="12"/>
      <c r="B43" s="12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 x14ac:dyDescent="0.2">
      <c r="A44" s="12"/>
      <c r="B44" s="12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x14ac:dyDescent="0.2">
      <c r="A45" s="12"/>
      <c r="B45" s="12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 x14ac:dyDescent="0.2">
      <c r="A46" s="12"/>
      <c r="B46" s="12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 x14ac:dyDescent="0.2">
      <c r="A47" s="12"/>
      <c r="B47" s="12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2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 x14ac:dyDescent="0.2">
      <c r="A49" s="12"/>
      <c r="B49" s="12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 x14ac:dyDescent="0.2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 x14ac:dyDescent="0.2">
      <c r="A51" s="3"/>
      <c r="B51" s="12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 x14ac:dyDescent="0.2">
      <c r="A52" s="12"/>
      <c r="B52" s="12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 x14ac:dyDescent="0.2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 x14ac:dyDescent="0.2">
      <c r="A54" s="12"/>
      <c r="B54" s="12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 x14ac:dyDescent="0.2">
      <c r="A55" s="12"/>
      <c r="B55" s="12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2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 x14ac:dyDescent="0.2">
      <c r="A57" s="12"/>
      <c r="B57" s="12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 x14ac:dyDescent="0.2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 x14ac:dyDescent="0.2">
      <c r="A59" s="12"/>
      <c r="B59" s="12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 x14ac:dyDescent="0.2">
      <c r="A60" s="12"/>
      <c r="B60" s="12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 x14ac:dyDescent="0.2">
      <c r="A61" s="12"/>
      <c r="B61" s="12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 x14ac:dyDescent="0.2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 x14ac:dyDescent="0.2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 x14ac:dyDescent="0.2">
      <c r="A64" s="12"/>
      <c r="B64" s="12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 x14ac:dyDescent="0.2">
      <c r="A65" s="12"/>
      <c r="B65" s="12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 x14ac:dyDescent="0.2">
      <c r="A66" s="12"/>
      <c r="B66" s="12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12"/>
      <c r="B67" s="12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 x14ac:dyDescent="0.2">
      <c r="A68" s="12"/>
      <c r="B68" s="12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 x14ac:dyDescent="0.2">
      <c r="A69" s="12"/>
      <c r="B69" s="12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 x14ac:dyDescent="0.2">
      <c r="A70" s="12"/>
      <c r="B70" s="12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 x14ac:dyDescent="0.2">
      <c r="A71" s="12"/>
      <c r="B71" s="12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 x14ac:dyDescent="0.2">
      <c r="A72" s="12"/>
      <c r="B72" s="12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 x14ac:dyDescent="0.2">
      <c r="A73" s="12"/>
      <c r="B73" s="12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 x14ac:dyDescent="0.2">
      <c r="A74" s="12"/>
      <c r="B74" s="12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 x14ac:dyDescent="0.2">
      <c r="A75" s="12"/>
      <c r="B75" s="12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 x14ac:dyDescent="0.2">
      <c r="A76" s="12"/>
      <c r="B76" s="12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 x14ac:dyDescent="0.2">
      <c r="A77" s="12"/>
      <c r="B77" s="12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 x14ac:dyDescent="0.2">
      <c r="A78" s="12"/>
      <c r="B78" s="12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 x14ac:dyDescent="0.2">
      <c r="A79" s="12"/>
      <c r="B79" s="12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 x14ac:dyDescent="0.2">
      <c r="A80" s="12"/>
      <c r="B80" s="12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 x14ac:dyDescent="0.2">
      <c r="A81" s="12"/>
      <c r="B81" s="12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">
      <c r="A82" s="12"/>
      <c r="B82" s="12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">
      <c r="A83" s="12"/>
      <c r="B83" s="12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">
      <c r="A84" s="12"/>
      <c r="B84" s="12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">
      <c r="A85" s="12"/>
      <c r="B85" s="12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">
      <c r="A86" s="12"/>
      <c r="B86" s="12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">
      <c r="A87" s="12"/>
      <c r="B87" s="12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">
      <c r="A88" s="12"/>
      <c r="B88" s="12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">
      <c r="A89" s="12"/>
      <c r="B89" s="12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">
      <c r="A90" s="12"/>
      <c r="B90" s="12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">
      <c r="A91" s="12"/>
      <c r="B91" s="12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">
      <c r="A92" s="12"/>
      <c r="B92" s="12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 x14ac:dyDescent="0.2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 x14ac:dyDescent="0.2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 x14ac:dyDescent="0.2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 x14ac:dyDescent="0.2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 x14ac:dyDescent="0.2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 x14ac:dyDescent="0.2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 x14ac:dyDescent="0.2">
      <c r="A100" s="3"/>
      <c r="B100" s="12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 x14ac:dyDescent="0.2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 x14ac:dyDescent="0.2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 x14ac:dyDescent="0.2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 x14ac:dyDescent="0.2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 x14ac:dyDescent="0.2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 x14ac:dyDescent="0.2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 x14ac:dyDescent="0.2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 x14ac:dyDescent="0.2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 x14ac:dyDescent="0.2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 x14ac:dyDescent="0.2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 x14ac:dyDescent="0.2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 x14ac:dyDescent="0.2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 x14ac:dyDescent="0.2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 x14ac:dyDescent="0.2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 x14ac:dyDescent="0.2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 x14ac:dyDescent="0.2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 x14ac:dyDescent="0.2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 x14ac:dyDescent="0.2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 x14ac:dyDescent="0.2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 x14ac:dyDescent="0.2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 x14ac:dyDescent="0.2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 x14ac:dyDescent="0.2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 x14ac:dyDescent="0.2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 x14ac:dyDescent="0.2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 x14ac:dyDescent="0.2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 x14ac:dyDescent="0.2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 x14ac:dyDescent="0.2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 x14ac:dyDescent="0.2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 x14ac:dyDescent="0.2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 x14ac:dyDescent="0.2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 x14ac:dyDescent="0.2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 x14ac:dyDescent="0.2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 x14ac:dyDescent="0.2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 x14ac:dyDescent="0.2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 x14ac:dyDescent="0.2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 x14ac:dyDescent="0.2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 x14ac:dyDescent="0.2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 x14ac:dyDescent="0.2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 x14ac:dyDescent="0.2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 x14ac:dyDescent="0.2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 x14ac:dyDescent="0.2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 x14ac:dyDescent="0.2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 x14ac:dyDescent="0.2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 x14ac:dyDescent="0.2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 x14ac:dyDescent="0.2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 x14ac:dyDescent="0.2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 x14ac:dyDescent="0.2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 x14ac:dyDescent="0.2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 x14ac:dyDescent="0.2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 x14ac:dyDescent="0.2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 x14ac:dyDescent="0.2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 x14ac:dyDescent="0.2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 x14ac:dyDescent="0.2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 x14ac:dyDescent="0.2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 x14ac:dyDescent="0.2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 x14ac:dyDescent="0.2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 x14ac:dyDescent="0.2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 x14ac:dyDescent="0.2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 x14ac:dyDescent="0.2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 x14ac:dyDescent="0.2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 x14ac:dyDescent="0.2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 x14ac:dyDescent="0.2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 x14ac:dyDescent="0.2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 x14ac:dyDescent="0.2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 x14ac:dyDescent="0.2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 x14ac:dyDescent="0.2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 x14ac:dyDescent="0.2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 x14ac:dyDescent="0.2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 x14ac:dyDescent="0.2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 x14ac:dyDescent="0.2"/>
    <row r="171" spans="1:11" ht="15.75" customHeight="1" x14ac:dyDescent="0.2"/>
    <row r="172" spans="1:11" ht="15.75" customHeight="1" x14ac:dyDescent="0.2"/>
    <row r="173" spans="1:11" ht="15.75" customHeight="1" x14ac:dyDescent="0.2"/>
    <row r="174" spans="1:11" ht="15.75" customHeight="1" x14ac:dyDescent="0.2"/>
    <row r="175" spans="1:11" ht="15.75" customHeight="1" x14ac:dyDescent="0.2"/>
    <row r="176" spans="1:11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C1:E1"/>
    <mergeCell ref="F1:H1"/>
    <mergeCell ref="I1:K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A9C-0F04-471E-8126-4E1020451F6F}">
  <dimension ref="A1:C159"/>
  <sheetViews>
    <sheetView workbookViewId="0">
      <selection activeCell="P39" sqref="P39"/>
    </sheetView>
  </sheetViews>
  <sheetFormatPr defaultRowHeight="12.75" x14ac:dyDescent="0.2"/>
  <sheetData>
    <row r="1" spans="1:3" x14ac:dyDescent="0.2">
      <c r="A1" t="s">
        <v>77</v>
      </c>
      <c r="B1" t="s">
        <v>79</v>
      </c>
      <c r="C1" t="s">
        <v>78</v>
      </c>
    </row>
    <row r="2" spans="1:3" x14ac:dyDescent="0.2">
      <c r="A2" t="s">
        <v>80</v>
      </c>
      <c r="B2">
        <v>100</v>
      </c>
      <c r="C2" s="1">
        <v>0</v>
      </c>
    </row>
    <row r="3" spans="1:3" x14ac:dyDescent="0.2">
      <c r="A3" t="s">
        <v>80</v>
      </c>
      <c r="B3">
        <v>97.674418604651152</v>
      </c>
      <c r="C3" s="1">
        <v>8.5</v>
      </c>
    </row>
    <row r="4" spans="1:3" x14ac:dyDescent="0.2">
      <c r="A4" t="s">
        <v>80</v>
      </c>
      <c r="B4">
        <v>93.023255813953483</v>
      </c>
      <c r="C4" s="1">
        <v>18.75</v>
      </c>
    </row>
    <row r="5" spans="1:3" x14ac:dyDescent="0.2">
      <c r="A5" t="s">
        <v>80</v>
      </c>
      <c r="B5">
        <v>39.534883720930232</v>
      </c>
      <c r="C5" s="1">
        <v>24</v>
      </c>
    </row>
    <row r="6" spans="1:3" x14ac:dyDescent="0.2">
      <c r="A6" t="s">
        <v>80</v>
      </c>
      <c r="B6">
        <v>11.627906976744185</v>
      </c>
      <c r="C6" s="1">
        <v>32.25</v>
      </c>
    </row>
    <row r="7" spans="1:3" x14ac:dyDescent="0.2">
      <c r="A7" t="s">
        <v>80</v>
      </c>
      <c r="B7">
        <v>2.3255813953488369</v>
      </c>
      <c r="C7" s="1">
        <v>42.5</v>
      </c>
    </row>
    <row r="8" spans="1:3" x14ac:dyDescent="0.2">
      <c r="A8" t="s">
        <v>80</v>
      </c>
      <c r="B8">
        <v>0</v>
      </c>
      <c r="C8" s="1">
        <v>49.5</v>
      </c>
    </row>
    <row r="9" spans="1:3" x14ac:dyDescent="0.2">
      <c r="A9" t="s">
        <v>80</v>
      </c>
      <c r="B9">
        <v>0</v>
      </c>
      <c r="C9" s="1">
        <v>57.83</v>
      </c>
    </row>
    <row r="10" spans="1:3" x14ac:dyDescent="0.2">
      <c r="A10">
        <v>2</v>
      </c>
      <c r="B10">
        <v>113.72549019607843</v>
      </c>
      <c r="C10">
        <v>0</v>
      </c>
    </row>
    <row r="11" spans="1:3" x14ac:dyDescent="0.2">
      <c r="A11">
        <v>2</v>
      </c>
      <c r="B11">
        <v>100</v>
      </c>
      <c r="C11">
        <v>8.75</v>
      </c>
    </row>
    <row r="12" spans="1:3" x14ac:dyDescent="0.2">
      <c r="A12">
        <v>2</v>
      </c>
      <c r="B12">
        <v>82.35294117647058</v>
      </c>
      <c r="C12">
        <v>19.25</v>
      </c>
    </row>
    <row r="13" spans="1:3" x14ac:dyDescent="0.2">
      <c r="A13">
        <v>2</v>
      </c>
      <c r="B13">
        <v>54.901960784313729</v>
      </c>
      <c r="C13">
        <v>24.5</v>
      </c>
    </row>
    <row r="14" spans="1:3" x14ac:dyDescent="0.2">
      <c r="A14">
        <v>2</v>
      </c>
      <c r="B14">
        <v>13.725490196078432</v>
      </c>
      <c r="C14">
        <v>32.75</v>
      </c>
    </row>
    <row r="15" spans="1:3" x14ac:dyDescent="0.2">
      <c r="A15">
        <v>2</v>
      </c>
      <c r="B15">
        <v>1.9607843137254901</v>
      </c>
      <c r="C15">
        <v>43</v>
      </c>
    </row>
    <row r="16" spans="1:3" x14ac:dyDescent="0.2">
      <c r="A16">
        <v>2</v>
      </c>
      <c r="B16">
        <v>0</v>
      </c>
      <c r="C16">
        <v>51.33</v>
      </c>
    </row>
    <row r="17" spans="1:3" x14ac:dyDescent="0.2">
      <c r="A17">
        <v>2</v>
      </c>
      <c r="B17">
        <v>0</v>
      </c>
      <c r="C17">
        <v>59.66</v>
      </c>
    </row>
    <row r="18" spans="1:3" x14ac:dyDescent="0.2">
      <c r="A18">
        <v>3</v>
      </c>
      <c r="B18">
        <v>100</v>
      </c>
      <c r="C18">
        <v>0</v>
      </c>
    </row>
    <row r="19" spans="1:3" x14ac:dyDescent="0.2">
      <c r="A19">
        <v>3</v>
      </c>
      <c r="B19">
        <v>89.65517241379311</v>
      </c>
      <c r="C19">
        <v>9</v>
      </c>
    </row>
    <row r="20" spans="1:3" x14ac:dyDescent="0.2">
      <c r="A20">
        <v>3</v>
      </c>
      <c r="B20">
        <v>62.068965517241381</v>
      </c>
      <c r="C20">
        <v>19.5</v>
      </c>
    </row>
    <row r="21" spans="1:3" x14ac:dyDescent="0.2">
      <c r="A21">
        <v>3</v>
      </c>
      <c r="B21">
        <v>41.379310344827594</v>
      </c>
      <c r="C21">
        <v>24.83</v>
      </c>
    </row>
    <row r="22" spans="1:3" x14ac:dyDescent="0.2">
      <c r="A22">
        <v>3</v>
      </c>
      <c r="B22">
        <v>20.689655172413797</v>
      </c>
      <c r="C22">
        <v>32.83</v>
      </c>
    </row>
    <row r="23" spans="1:3" x14ac:dyDescent="0.2">
      <c r="A23">
        <v>3</v>
      </c>
      <c r="B23">
        <v>3.4482758620689653</v>
      </c>
      <c r="C23">
        <v>42.83</v>
      </c>
    </row>
    <row r="24" spans="1:3" x14ac:dyDescent="0.2">
      <c r="A24">
        <v>3</v>
      </c>
      <c r="B24">
        <v>0</v>
      </c>
      <c r="C24">
        <v>49.58</v>
      </c>
    </row>
    <row r="25" spans="1:3" x14ac:dyDescent="0.2">
      <c r="A25">
        <v>3</v>
      </c>
      <c r="B25">
        <v>0</v>
      </c>
      <c r="C25">
        <v>57.91</v>
      </c>
    </row>
    <row r="26" spans="1:3" x14ac:dyDescent="0.2">
      <c r="A26">
        <v>4</v>
      </c>
      <c r="B26">
        <v>100</v>
      </c>
      <c r="C26">
        <v>0</v>
      </c>
    </row>
    <row r="27" spans="1:3" x14ac:dyDescent="0.2">
      <c r="A27">
        <v>4</v>
      </c>
      <c r="B27">
        <v>86.842105263157904</v>
      </c>
      <c r="C27">
        <v>9</v>
      </c>
    </row>
    <row r="28" spans="1:3" x14ac:dyDescent="0.2">
      <c r="A28">
        <v>4</v>
      </c>
      <c r="B28">
        <v>76.31578947368422</v>
      </c>
      <c r="C28">
        <v>19.5</v>
      </c>
    </row>
    <row r="29" spans="1:3" x14ac:dyDescent="0.2">
      <c r="A29">
        <v>4</v>
      </c>
      <c r="B29">
        <v>44.736842105263165</v>
      </c>
      <c r="C29">
        <v>24.83</v>
      </c>
    </row>
    <row r="30" spans="1:3" x14ac:dyDescent="0.2">
      <c r="A30">
        <v>4</v>
      </c>
      <c r="B30">
        <v>10.526315789473683</v>
      </c>
      <c r="C30">
        <v>32.83</v>
      </c>
    </row>
    <row r="31" spans="1:3" x14ac:dyDescent="0.2">
      <c r="A31">
        <v>4</v>
      </c>
      <c r="B31">
        <v>0</v>
      </c>
      <c r="C31">
        <v>42.83</v>
      </c>
    </row>
    <row r="32" spans="1:3" x14ac:dyDescent="0.2">
      <c r="A32">
        <v>5</v>
      </c>
      <c r="B32">
        <v>100</v>
      </c>
      <c r="C32">
        <v>0</v>
      </c>
    </row>
    <row r="33" spans="1:3" x14ac:dyDescent="0.2">
      <c r="A33">
        <v>5</v>
      </c>
      <c r="B33">
        <v>96.15384615384616</v>
      </c>
      <c r="C33">
        <v>9</v>
      </c>
    </row>
    <row r="34" spans="1:3" x14ac:dyDescent="0.2">
      <c r="A34">
        <v>5</v>
      </c>
      <c r="B34">
        <v>80.769230769230774</v>
      </c>
      <c r="C34">
        <v>19.5</v>
      </c>
    </row>
    <row r="35" spans="1:3" x14ac:dyDescent="0.2">
      <c r="A35">
        <v>5</v>
      </c>
      <c r="B35">
        <v>57.692307692307701</v>
      </c>
      <c r="C35">
        <v>24.83</v>
      </c>
    </row>
    <row r="36" spans="1:3" x14ac:dyDescent="0.2">
      <c r="A36">
        <v>5</v>
      </c>
      <c r="B36">
        <v>19.230769230769234</v>
      </c>
      <c r="C36">
        <v>32.83</v>
      </c>
    </row>
    <row r="37" spans="1:3" x14ac:dyDescent="0.2">
      <c r="A37">
        <v>5</v>
      </c>
      <c r="B37">
        <v>7.6923076923076925</v>
      </c>
      <c r="C37">
        <v>42.83</v>
      </c>
    </row>
    <row r="38" spans="1:3" x14ac:dyDescent="0.2">
      <c r="A38">
        <v>5</v>
      </c>
      <c r="B38">
        <v>0</v>
      </c>
      <c r="C38">
        <v>49.58</v>
      </c>
    </row>
    <row r="39" spans="1:3" x14ac:dyDescent="0.2">
      <c r="A39">
        <v>5</v>
      </c>
      <c r="B39">
        <v>0</v>
      </c>
      <c r="C39">
        <v>57.91</v>
      </c>
    </row>
    <row r="40" spans="1:3" x14ac:dyDescent="0.2">
      <c r="A40">
        <v>6</v>
      </c>
      <c r="B40">
        <v>100</v>
      </c>
      <c r="C40">
        <v>0</v>
      </c>
    </row>
    <row r="41" spans="1:3" x14ac:dyDescent="0.2">
      <c r="A41">
        <v>6</v>
      </c>
      <c r="B41">
        <v>100</v>
      </c>
      <c r="C41">
        <v>9</v>
      </c>
    </row>
    <row r="42" spans="1:3" x14ac:dyDescent="0.2">
      <c r="A42">
        <v>6</v>
      </c>
      <c r="B42">
        <v>100</v>
      </c>
      <c r="C42">
        <v>19.5</v>
      </c>
    </row>
    <row r="43" spans="1:3" x14ac:dyDescent="0.2">
      <c r="A43">
        <v>6</v>
      </c>
      <c r="B43">
        <v>60</v>
      </c>
      <c r="C43">
        <v>24.83</v>
      </c>
    </row>
    <row r="44" spans="1:3" x14ac:dyDescent="0.2">
      <c r="A44">
        <v>6</v>
      </c>
      <c r="B44">
        <v>20</v>
      </c>
      <c r="C44">
        <v>32.83</v>
      </c>
    </row>
    <row r="45" spans="1:3" x14ac:dyDescent="0.2">
      <c r="A45">
        <v>6</v>
      </c>
      <c r="B45">
        <v>0</v>
      </c>
      <c r="C45">
        <v>42.83</v>
      </c>
    </row>
    <row r="46" spans="1:3" x14ac:dyDescent="0.2">
      <c r="A46">
        <v>6</v>
      </c>
      <c r="B46">
        <v>0</v>
      </c>
      <c r="C46">
        <v>49.58</v>
      </c>
    </row>
    <row r="47" spans="1:3" x14ac:dyDescent="0.2">
      <c r="A47">
        <v>6</v>
      </c>
      <c r="B47">
        <v>0</v>
      </c>
      <c r="C47">
        <v>57.91</v>
      </c>
    </row>
    <row r="48" spans="1:3" x14ac:dyDescent="0.2">
      <c r="A48">
        <v>7</v>
      </c>
      <c r="B48">
        <v>100</v>
      </c>
      <c r="C48">
        <v>0</v>
      </c>
    </row>
    <row r="49" spans="1:3" x14ac:dyDescent="0.2">
      <c r="A49">
        <v>7</v>
      </c>
      <c r="B49">
        <v>100</v>
      </c>
      <c r="C49">
        <v>9</v>
      </c>
    </row>
    <row r="50" spans="1:3" x14ac:dyDescent="0.2">
      <c r="A50">
        <v>7</v>
      </c>
      <c r="B50">
        <v>100</v>
      </c>
      <c r="C50">
        <v>19.5</v>
      </c>
    </row>
    <row r="51" spans="1:3" x14ac:dyDescent="0.2">
      <c r="A51">
        <v>7</v>
      </c>
      <c r="B51">
        <v>62.5</v>
      </c>
      <c r="C51">
        <v>24.83</v>
      </c>
    </row>
    <row r="52" spans="1:3" x14ac:dyDescent="0.2">
      <c r="A52">
        <v>7</v>
      </c>
      <c r="B52">
        <v>50</v>
      </c>
      <c r="C52">
        <v>32.83</v>
      </c>
    </row>
    <row r="53" spans="1:3" x14ac:dyDescent="0.2">
      <c r="A53">
        <v>7</v>
      </c>
      <c r="B53">
        <v>12.5</v>
      </c>
      <c r="C53">
        <v>42.83</v>
      </c>
    </row>
    <row r="54" spans="1:3" x14ac:dyDescent="0.2">
      <c r="A54">
        <v>7</v>
      </c>
      <c r="B54">
        <v>0</v>
      </c>
      <c r="C54">
        <v>49.58</v>
      </c>
    </row>
    <row r="55" spans="1:3" x14ac:dyDescent="0.2">
      <c r="A55">
        <v>7</v>
      </c>
      <c r="B55">
        <v>0</v>
      </c>
      <c r="C55">
        <v>57.91</v>
      </c>
    </row>
    <row r="56" spans="1:3" x14ac:dyDescent="0.2">
      <c r="A56">
        <v>8</v>
      </c>
      <c r="B56">
        <v>100</v>
      </c>
      <c r="C56">
        <v>0</v>
      </c>
    </row>
    <row r="57" spans="1:3" x14ac:dyDescent="0.2">
      <c r="A57">
        <v>8</v>
      </c>
      <c r="B57">
        <v>87.5</v>
      </c>
      <c r="C57">
        <v>9</v>
      </c>
    </row>
    <row r="58" spans="1:3" x14ac:dyDescent="0.2">
      <c r="A58">
        <v>8</v>
      </c>
      <c r="B58">
        <v>85.416666666666657</v>
      </c>
      <c r="C58">
        <v>19.5</v>
      </c>
    </row>
    <row r="59" spans="1:3" x14ac:dyDescent="0.2">
      <c r="A59">
        <v>8</v>
      </c>
      <c r="B59">
        <v>52.083333333333336</v>
      </c>
      <c r="C59">
        <v>24.83</v>
      </c>
    </row>
    <row r="60" spans="1:3" x14ac:dyDescent="0.2">
      <c r="A60">
        <v>8</v>
      </c>
      <c r="B60">
        <v>18.75</v>
      </c>
      <c r="C60">
        <v>32.83</v>
      </c>
    </row>
    <row r="61" spans="1:3" x14ac:dyDescent="0.2">
      <c r="A61">
        <v>8</v>
      </c>
      <c r="B61">
        <v>2.083333333333333</v>
      </c>
      <c r="C61">
        <v>42.83</v>
      </c>
    </row>
    <row r="62" spans="1:3" x14ac:dyDescent="0.2">
      <c r="A62">
        <v>8</v>
      </c>
      <c r="B62">
        <v>0</v>
      </c>
      <c r="C62">
        <v>49.58</v>
      </c>
    </row>
    <row r="63" spans="1:3" x14ac:dyDescent="0.2">
      <c r="A63">
        <v>8</v>
      </c>
      <c r="B63">
        <v>0</v>
      </c>
      <c r="C63">
        <v>57.91</v>
      </c>
    </row>
    <row r="64" spans="1:3" x14ac:dyDescent="0.2">
      <c r="A64">
        <v>9</v>
      </c>
      <c r="B64">
        <v>100</v>
      </c>
      <c r="C64">
        <v>0</v>
      </c>
    </row>
    <row r="65" spans="1:3" x14ac:dyDescent="0.2">
      <c r="A65">
        <v>9</v>
      </c>
      <c r="B65">
        <v>90.384615384615387</v>
      </c>
      <c r="C65">
        <v>9</v>
      </c>
    </row>
    <row r="66" spans="1:3" x14ac:dyDescent="0.2">
      <c r="A66">
        <v>9</v>
      </c>
      <c r="B66">
        <v>82.692307692307693</v>
      </c>
      <c r="C66">
        <v>19.5</v>
      </c>
    </row>
    <row r="67" spans="1:3" x14ac:dyDescent="0.2">
      <c r="A67">
        <v>9</v>
      </c>
      <c r="B67">
        <v>51.923076923076927</v>
      </c>
      <c r="C67">
        <v>24.83</v>
      </c>
    </row>
    <row r="68" spans="1:3" x14ac:dyDescent="0.2">
      <c r="A68">
        <v>9</v>
      </c>
      <c r="B68">
        <v>19.230769230769234</v>
      </c>
      <c r="C68">
        <v>32.83</v>
      </c>
    </row>
    <row r="69" spans="1:3" x14ac:dyDescent="0.2">
      <c r="A69">
        <v>9</v>
      </c>
      <c r="B69">
        <v>1.9230769230769231</v>
      </c>
      <c r="C69">
        <v>42.83</v>
      </c>
    </row>
    <row r="70" spans="1:3" x14ac:dyDescent="0.2">
      <c r="A70">
        <v>9</v>
      </c>
      <c r="B70">
        <v>0</v>
      </c>
      <c r="C70">
        <v>49.58</v>
      </c>
    </row>
    <row r="71" spans="1:3" x14ac:dyDescent="0.2">
      <c r="A71">
        <v>9</v>
      </c>
      <c r="B71">
        <v>0</v>
      </c>
      <c r="C71">
        <v>57.91</v>
      </c>
    </row>
    <row r="72" spans="1:3" x14ac:dyDescent="0.2">
      <c r="A72">
        <v>10</v>
      </c>
      <c r="B72">
        <v>100</v>
      </c>
      <c r="C72">
        <v>0</v>
      </c>
    </row>
    <row r="73" spans="1:3" x14ac:dyDescent="0.2">
      <c r="A73">
        <v>10</v>
      </c>
      <c r="B73">
        <v>88.8888888888889</v>
      </c>
      <c r="C73">
        <v>9</v>
      </c>
    </row>
    <row r="74" spans="1:3" x14ac:dyDescent="0.2">
      <c r="A74">
        <v>10</v>
      </c>
      <c r="B74">
        <v>84.444444444444443</v>
      </c>
      <c r="C74">
        <v>19.5</v>
      </c>
    </row>
    <row r="75" spans="1:3" x14ac:dyDescent="0.2">
      <c r="A75">
        <v>10</v>
      </c>
      <c r="B75">
        <v>40</v>
      </c>
      <c r="C75">
        <v>24.83</v>
      </c>
    </row>
    <row r="76" spans="1:3" x14ac:dyDescent="0.2">
      <c r="A76">
        <v>10</v>
      </c>
      <c r="B76">
        <v>17.777777777777775</v>
      </c>
      <c r="C76">
        <v>32.83</v>
      </c>
    </row>
    <row r="77" spans="1:3" x14ac:dyDescent="0.2">
      <c r="A77">
        <v>10</v>
      </c>
      <c r="B77">
        <v>6.666666666666667</v>
      </c>
      <c r="C77">
        <v>42.83</v>
      </c>
    </row>
    <row r="78" spans="1:3" x14ac:dyDescent="0.2">
      <c r="A78">
        <v>10</v>
      </c>
      <c r="B78">
        <v>2.2222222222222219</v>
      </c>
      <c r="C78">
        <v>49.58</v>
      </c>
    </row>
    <row r="79" spans="1:3" x14ac:dyDescent="0.2">
      <c r="A79">
        <v>10</v>
      </c>
      <c r="B79">
        <v>0</v>
      </c>
      <c r="C79">
        <v>57.91</v>
      </c>
    </row>
    <row r="80" spans="1:3" x14ac:dyDescent="0.2">
      <c r="A80">
        <v>11</v>
      </c>
      <c r="B80">
        <v>100</v>
      </c>
      <c r="C80">
        <v>0</v>
      </c>
    </row>
    <row r="81" spans="1:3" x14ac:dyDescent="0.2">
      <c r="A81">
        <v>11</v>
      </c>
      <c r="B81">
        <v>59.701492537313442</v>
      </c>
      <c r="C81">
        <v>9</v>
      </c>
    </row>
    <row r="82" spans="1:3" x14ac:dyDescent="0.2">
      <c r="A82">
        <v>11</v>
      </c>
      <c r="B82">
        <v>67.164179104477611</v>
      </c>
      <c r="C82">
        <v>19.5</v>
      </c>
    </row>
    <row r="83" spans="1:3" x14ac:dyDescent="0.2">
      <c r="A83">
        <v>11</v>
      </c>
      <c r="B83">
        <v>26.865671641791046</v>
      </c>
      <c r="C83">
        <v>24.83</v>
      </c>
    </row>
    <row r="84" spans="1:3" x14ac:dyDescent="0.2">
      <c r="A84">
        <v>11</v>
      </c>
      <c r="B84">
        <v>20.895522388059703</v>
      </c>
      <c r="C84">
        <v>32.83</v>
      </c>
    </row>
    <row r="85" spans="1:3" x14ac:dyDescent="0.2">
      <c r="A85">
        <v>11</v>
      </c>
      <c r="B85">
        <v>8.9552238805970159</v>
      </c>
      <c r="C85">
        <v>42.83</v>
      </c>
    </row>
    <row r="86" spans="1:3" x14ac:dyDescent="0.2">
      <c r="A86">
        <v>11</v>
      </c>
      <c r="B86">
        <v>0</v>
      </c>
      <c r="C86">
        <v>49.58</v>
      </c>
    </row>
    <row r="87" spans="1:3" x14ac:dyDescent="0.2">
      <c r="A87">
        <v>11</v>
      </c>
      <c r="B87">
        <v>0</v>
      </c>
      <c r="C87">
        <v>57.91</v>
      </c>
    </row>
    <row r="88" spans="1:3" x14ac:dyDescent="0.2">
      <c r="A88">
        <v>12</v>
      </c>
      <c r="B88">
        <v>100</v>
      </c>
      <c r="C88">
        <v>0</v>
      </c>
    </row>
    <row r="89" spans="1:3" x14ac:dyDescent="0.2">
      <c r="A89">
        <v>12</v>
      </c>
      <c r="B89">
        <v>88.888888888888886</v>
      </c>
      <c r="C89">
        <v>9</v>
      </c>
    </row>
    <row r="90" spans="1:3" x14ac:dyDescent="0.2">
      <c r="A90">
        <v>12</v>
      </c>
      <c r="B90">
        <v>22.222222222222221</v>
      </c>
      <c r="C90">
        <v>19.5</v>
      </c>
    </row>
    <row r="91" spans="1:3" x14ac:dyDescent="0.2">
      <c r="A91">
        <v>12</v>
      </c>
      <c r="B91">
        <v>0</v>
      </c>
      <c r="C91">
        <v>24.83</v>
      </c>
    </row>
    <row r="92" spans="1:3" x14ac:dyDescent="0.2">
      <c r="A92">
        <v>12</v>
      </c>
      <c r="B92">
        <v>0</v>
      </c>
      <c r="C92">
        <v>32.83</v>
      </c>
    </row>
    <row r="93" spans="1:3" x14ac:dyDescent="0.2">
      <c r="A93">
        <v>12</v>
      </c>
      <c r="B93">
        <v>0</v>
      </c>
      <c r="C93">
        <v>42.83</v>
      </c>
    </row>
    <row r="94" spans="1:3" x14ac:dyDescent="0.2">
      <c r="A94">
        <v>12</v>
      </c>
      <c r="B94">
        <v>0</v>
      </c>
      <c r="C94">
        <v>49.58</v>
      </c>
    </row>
    <row r="95" spans="1:3" x14ac:dyDescent="0.2">
      <c r="A95">
        <v>12</v>
      </c>
      <c r="B95">
        <v>0</v>
      </c>
      <c r="C95">
        <v>57.91</v>
      </c>
    </row>
    <row r="96" spans="1:3" x14ac:dyDescent="0.2">
      <c r="A96">
        <v>13</v>
      </c>
      <c r="B96">
        <v>100</v>
      </c>
      <c r="C96">
        <v>0</v>
      </c>
    </row>
    <row r="97" spans="1:3" x14ac:dyDescent="0.2">
      <c r="A97">
        <v>13</v>
      </c>
      <c r="B97">
        <v>53.846153846153847</v>
      </c>
      <c r="C97">
        <v>9</v>
      </c>
    </row>
    <row r="98" spans="1:3" x14ac:dyDescent="0.2">
      <c r="A98">
        <v>13</v>
      </c>
      <c r="B98">
        <v>25.641025641025646</v>
      </c>
      <c r="C98">
        <v>19.5</v>
      </c>
    </row>
    <row r="99" spans="1:3" x14ac:dyDescent="0.2">
      <c r="A99">
        <v>13</v>
      </c>
      <c r="B99">
        <v>15.384615384615385</v>
      </c>
      <c r="C99">
        <v>24.83</v>
      </c>
    </row>
    <row r="100" spans="1:3" x14ac:dyDescent="0.2">
      <c r="A100">
        <v>13</v>
      </c>
      <c r="B100">
        <v>2.5641025641025639</v>
      </c>
      <c r="C100">
        <v>32.83</v>
      </c>
    </row>
    <row r="101" spans="1:3" x14ac:dyDescent="0.2">
      <c r="A101">
        <v>13</v>
      </c>
      <c r="B101">
        <v>0</v>
      </c>
      <c r="C101">
        <v>42.83</v>
      </c>
    </row>
    <row r="102" spans="1:3" x14ac:dyDescent="0.2">
      <c r="A102">
        <v>13</v>
      </c>
      <c r="B102">
        <v>0</v>
      </c>
      <c r="C102">
        <v>49.58</v>
      </c>
    </row>
    <row r="103" spans="1:3" x14ac:dyDescent="0.2">
      <c r="A103">
        <v>13</v>
      </c>
      <c r="B103">
        <v>0</v>
      </c>
      <c r="C103">
        <v>57.91</v>
      </c>
    </row>
    <row r="104" spans="1:3" x14ac:dyDescent="0.2">
      <c r="A104">
        <v>15</v>
      </c>
      <c r="B104">
        <v>100</v>
      </c>
      <c r="C104">
        <v>0</v>
      </c>
    </row>
    <row r="105" spans="1:3" x14ac:dyDescent="0.2">
      <c r="A105">
        <v>15</v>
      </c>
      <c r="B105">
        <v>90.24390243902441</v>
      </c>
      <c r="C105">
        <v>9</v>
      </c>
    </row>
    <row r="106" spans="1:3" x14ac:dyDescent="0.2">
      <c r="A106">
        <v>15</v>
      </c>
      <c r="B106">
        <v>70.731707317073173</v>
      </c>
      <c r="C106">
        <v>19.5</v>
      </c>
    </row>
    <row r="107" spans="1:3" x14ac:dyDescent="0.2">
      <c r="A107">
        <v>15</v>
      </c>
      <c r="B107">
        <v>17.073170731707318</v>
      </c>
      <c r="C107">
        <v>24.83</v>
      </c>
    </row>
    <row r="108" spans="1:3" x14ac:dyDescent="0.2">
      <c r="A108">
        <v>15</v>
      </c>
      <c r="B108">
        <v>12.195121951219514</v>
      </c>
      <c r="C108">
        <v>32.83</v>
      </c>
    </row>
    <row r="109" spans="1:3" x14ac:dyDescent="0.2">
      <c r="A109">
        <v>15</v>
      </c>
      <c r="B109">
        <v>2.4390243902439024</v>
      </c>
      <c r="C109">
        <v>42.83</v>
      </c>
    </row>
    <row r="110" spans="1:3" x14ac:dyDescent="0.2">
      <c r="A110">
        <v>15</v>
      </c>
      <c r="B110">
        <v>0</v>
      </c>
      <c r="C110">
        <v>49.58</v>
      </c>
    </row>
    <row r="111" spans="1:3" x14ac:dyDescent="0.2">
      <c r="A111">
        <v>15</v>
      </c>
      <c r="B111">
        <v>0</v>
      </c>
      <c r="C111">
        <v>57.91</v>
      </c>
    </row>
    <row r="112" spans="1:3" x14ac:dyDescent="0.2">
      <c r="A112">
        <v>14</v>
      </c>
      <c r="B112">
        <v>100</v>
      </c>
      <c r="C112">
        <v>0</v>
      </c>
    </row>
    <row r="113" spans="1:3" x14ac:dyDescent="0.2">
      <c r="A113">
        <v>14</v>
      </c>
      <c r="B113">
        <v>82.35294117647058</v>
      </c>
      <c r="C113">
        <v>9</v>
      </c>
    </row>
    <row r="114" spans="1:3" x14ac:dyDescent="0.2">
      <c r="A114">
        <v>14</v>
      </c>
      <c r="B114">
        <v>44.117647058823529</v>
      </c>
      <c r="C114">
        <v>19.5</v>
      </c>
    </row>
    <row r="115" spans="1:3" x14ac:dyDescent="0.2">
      <c r="A115">
        <v>14</v>
      </c>
      <c r="B115">
        <v>5.8823529411764701</v>
      </c>
      <c r="C115">
        <v>24.83</v>
      </c>
    </row>
    <row r="116" spans="1:3" x14ac:dyDescent="0.2">
      <c r="A116">
        <v>14</v>
      </c>
      <c r="B116">
        <v>2.9411764705882351</v>
      </c>
      <c r="C116">
        <v>32.83</v>
      </c>
    </row>
    <row r="117" spans="1:3" x14ac:dyDescent="0.2">
      <c r="A117">
        <v>14</v>
      </c>
      <c r="B117">
        <v>2.9411764705882351</v>
      </c>
      <c r="C117">
        <v>42.83</v>
      </c>
    </row>
    <row r="118" spans="1:3" x14ac:dyDescent="0.2">
      <c r="A118">
        <v>14</v>
      </c>
      <c r="B118">
        <v>0</v>
      </c>
      <c r="C118">
        <v>49.58</v>
      </c>
    </row>
    <row r="119" spans="1:3" x14ac:dyDescent="0.2">
      <c r="A119">
        <v>14</v>
      </c>
      <c r="B119">
        <v>0</v>
      </c>
      <c r="C119">
        <v>57.91</v>
      </c>
    </row>
    <row r="120" spans="1:3" x14ac:dyDescent="0.2">
      <c r="A120">
        <v>17</v>
      </c>
      <c r="B120">
        <v>100</v>
      </c>
      <c r="C120">
        <v>0</v>
      </c>
    </row>
    <row r="121" spans="1:3" x14ac:dyDescent="0.2">
      <c r="A121">
        <v>17</v>
      </c>
      <c r="B121">
        <v>74.358974358974351</v>
      </c>
      <c r="C121">
        <v>9</v>
      </c>
    </row>
    <row r="122" spans="1:3" x14ac:dyDescent="0.2">
      <c r="A122">
        <v>17</v>
      </c>
      <c r="B122">
        <v>0</v>
      </c>
      <c r="C122">
        <v>19.5</v>
      </c>
    </row>
    <row r="123" spans="1:3" x14ac:dyDescent="0.2">
      <c r="A123">
        <v>17</v>
      </c>
      <c r="B123">
        <v>0</v>
      </c>
      <c r="C123">
        <v>24.83</v>
      </c>
    </row>
    <row r="124" spans="1:3" x14ac:dyDescent="0.2">
      <c r="A124">
        <v>17</v>
      </c>
      <c r="B124">
        <v>0</v>
      </c>
      <c r="C124">
        <v>32.83</v>
      </c>
    </row>
    <row r="125" spans="1:3" x14ac:dyDescent="0.2">
      <c r="A125">
        <v>17</v>
      </c>
      <c r="B125">
        <v>0</v>
      </c>
      <c r="C125">
        <v>42.83</v>
      </c>
    </row>
    <row r="126" spans="1:3" x14ac:dyDescent="0.2">
      <c r="A126">
        <v>17</v>
      </c>
      <c r="B126">
        <v>0</v>
      </c>
      <c r="C126">
        <v>49.58</v>
      </c>
    </row>
    <row r="127" spans="1:3" x14ac:dyDescent="0.2">
      <c r="A127">
        <v>17</v>
      </c>
      <c r="B127">
        <v>0</v>
      </c>
      <c r="C127">
        <v>57.91</v>
      </c>
    </row>
    <row r="128" spans="1:3" x14ac:dyDescent="0.2">
      <c r="A128">
        <v>18</v>
      </c>
      <c r="B128">
        <v>100</v>
      </c>
      <c r="C128">
        <v>0</v>
      </c>
    </row>
    <row r="129" spans="1:3" x14ac:dyDescent="0.2">
      <c r="A129">
        <v>18</v>
      </c>
      <c r="B129">
        <v>68.181818181818187</v>
      </c>
      <c r="C129">
        <v>9</v>
      </c>
    </row>
    <row r="130" spans="1:3" x14ac:dyDescent="0.2">
      <c r="A130">
        <v>18</v>
      </c>
      <c r="B130">
        <v>27.272727272727277</v>
      </c>
      <c r="C130">
        <v>19.5</v>
      </c>
    </row>
    <row r="131" spans="1:3" x14ac:dyDescent="0.2">
      <c r="A131">
        <v>18</v>
      </c>
      <c r="B131">
        <v>0</v>
      </c>
      <c r="C131">
        <v>24.83</v>
      </c>
    </row>
    <row r="132" spans="1:3" x14ac:dyDescent="0.2">
      <c r="A132">
        <v>18</v>
      </c>
      <c r="B132">
        <v>0</v>
      </c>
      <c r="C132">
        <v>32.83</v>
      </c>
    </row>
    <row r="133" spans="1:3" x14ac:dyDescent="0.2">
      <c r="A133">
        <v>18</v>
      </c>
      <c r="B133">
        <v>0</v>
      </c>
      <c r="C133">
        <v>42.83</v>
      </c>
    </row>
    <row r="134" spans="1:3" x14ac:dyDescent="0.2">
      <c r="A134">
        <v>18</v>
      </c>
      <c r="B134">
        <v>0</v>
      </c>
      <c r="C134">
        <v>49.58</v>
      </c>
    </row>
    <row r="135" spans="1:3" x14ac:dyDescent="0.2">
      <c r="A135">
        <v>18</v>
      </c>
      <c r="B135">
        <v>0</v>
      </c>
      <c r="C135">
        <v>57.91</v>
      </c>
    </row>
    <row r="136" spans="1:3" x14ac:dyDescent="0.2">
      <c r="A136">
        <v>19</v>
      </c>
      <c r="B136">
        <v>100</v>
      </c>
      <c r="C136">
        <v>0</v>
      </c>
    </row>
    <row r="137" spans="1:3" x14ac:dyDescent="0.2">
      <c r="A137">
        <v>19</v>
      </c>
      <c r="B137">
        <v>62.068965517241381</v>
      </c>
      <c r="C137">
        <v>9</v>
      </c>
    </row>
    <row r="138" spans="1:3" x14ac:dyDescent="0.2">
      <c r="A138">
        <v>19</v>
      </c>
      <c r="B138">
        <v>6.8965517241379306</v>
      </c>
      <c r="C138">
        <v>19.5</v>
      </c>
    </row>
    <row r="139" spans="1:3" x14ac:dyDescent="0.2">
      <c r="A139">
        <v>19</v>
      </c>
      <c r="B139">
        <v>0</v>
      </c>
      <c r="C139">
        <v>24.83</v>
      </c>
    </row>
    <row r="140" spans="1:3" x14ac:dyDescent="0.2">
      <c r="A140">
        <v>19</v>
      </c>
      <c r="B140">
        <v>0</v>
      </c>
      <c r="C140">
        <v>32.83</v>
      </c>
    </row>
    <row r="141" spans="1:3" x14ac:dyDescent="0.2">
      <c r="A141">
        <v>19</v>
      </c>
      <c r="B141">
        <v>0</v>
      </c>
      <c r="C141">
        <v>42.83</v>
      </c>
    </row>
    <row r="142" spans="1:3" x14ac:dyDescent="0.2">
      <c r="A142">
        <v>19</v>
      </c>
      <c r="B142">
        <v>0</v>
      </c>
      <c r="C142">
        <v>49.58</v>
      </c>
    </row>
    <row r="143" spans="1:3" x14ac:dyDescent="0.2">
      <c r="A143">
        <v>19</v>
      </c>
      <c r="B143">
        <v>0</v>
      </c>
      <c r="C143">
        <v>57.91</v>
      </c>
    </row>
    <row r="144" spans="1:3" x14ac:dyDescent="0.2">
      <c r="A144">
        <v>20</v>
      </c>
      <c r="B144">
        <v>100</v>
      </c>
      <c r="C144">
        <v>0</v>
      </c>
    </row>
    <row r="145" spans="1:3" x14ac:dyDescent="0.2">
      <c r="A145">
        <v>20</v>
      </c>
      <c r="B145">
        <v>63.15789473684211</v>
      </c>
      <c r="C145">
        <v>9</v>
      </c>
    </row>
    <row r="146" spans="1:3" x14ac:dyDescent="0.2">
      <c r="A146">
        <v>20</v>
      </c>
      <c r="B146">
        <v>42.105263157894733</v>
      </c>
      <c r="C146">
        <v>19.5</v>
      </c>
    </row>
    <row r="147" spans="1:3" x14ac:dyDescent="0.2">
      <c r="A147">
        <v>20</v>
      </c>
      <c r="B147">
        <v>0</v>
      </c>
      <c r="C147">
        <v>24.83</v>
      </c>
    </row>
    <row r="148" spans="1:3" x14ac:dyDescent="0.2">
      <c r="A148">
        <v>20</v>
      </c>
      <c r="B148">
        <v>0</v>
      </c>
      <c r="C148">
        <v>32.83</v>
      </c>
    </row>
    <row r="149" spans="1:3" x14ac:dyDescent="0.2">
      <c r="A149">
        <v>20</v>
      </c>
      <c r="B149">
        <v>0</v>
      </c>
      <c r="C149">
        <v>42.83</v>
      </c>
    </row>
    <row r="150" spans="1:3" x14ac:dyDescent="0.2">
      <c r="A150">
        <v>20</v>
      </c>
      <c r="B150">
        <v>0</v>
      </c>
      <c r="C150">
        <v>49.58</v>
      </c>
    </row>
    <row r="151" spans="1:3" x14ac:dyDescent="0.2">
      <c r="A151">
        <v>20</v>
      </c>
      <c r="B151">
        <v>0</v>
      </c>
      <c r="C151">
        <v>57.91</v>
      </c>
    </row>
    <row r="152" spans="1:3" x14ac:dyDescent="0.2">
      <c r="A152">
        <v>21</v>
      </c>
      <c r="B152">
        <v>100</v>
      </c>
      <c r="C152">
        <v>0</v>
      </c>
    </row>
    <row r="153" spans="1:3" x14ac:dyDescent="0.2">
      <c r="A153">
        <v>21</v>
      </c>
      <c r="B153">
        <v>46.666666666666664</v>
      </c>
      <c r="C153">
        <v>9</v>
      </c>
    </row>
    <row r="154" spans="1:3" x14ac:dyDescent="0.2">
      <c r="A154">
        <v>21</v>
      </c>
      <c r="B154">
        <v>40</v>
      </c>
      <c r="C154">
        <v>19.5</v>
      </c>
    </row>
    <row r="155" spans="1:3" x14ac:dyDescent="0.2">
      <c r="A155">
        <v>21</v>
      </c>
      <c r="B155">
        <v>0</v>
      </c>
      <c r="C155">
        <v>24.83</v>
      </c>
    </row>
    <row r="156" spans="1:3" x14ac:dyDescent="0.2">
      <c r="A156">
        <v>21</v>
      </c>
      <c r="B156">
        <v>0</v>
      </c>
      <c r="C156">
        <v>32.83</v>
      </c>
    </row>
    <row r="157" spans="1:3" x14ac:dyDescent="0.2">
      <c r="A157">
        <v>21</v>
      </c>
      <c r="B157">
        <v>0</v>
      </c>
      <c r="C157">
        <v>42.83</v>
      </c>
    </row>
    <row r="158" spans="1:3" x14ac:dyDescent="0.2">
      <c r="A158">
        <v>21</v>
      </c>
      <c r="B158">
        <v>0</v>
      </c>
      <c r="C158">
        <v>49.58</v>
      </c>
    </row>
    <row r="159" spans="1:3" x14ac:dyDescent="0.2">
      <c r="A159">
        <v>21</v>
      </c>
      <c r="B159">
        <v>0</v>
      </c>
      <c r="C159">
        <v>57.91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4C43-9B43-4397-82ED-8D89EB597E4B}">
  <dimension ref="A1:H20"/>
  <sheetViews>
    <sheetView tabSelected="1" workbookViewId="0">
      <selection activeCell="I21" sqref="I21:I22"/>
    </sheetView>
  </sheetViews>
  <sheetFormatPr defaultRowHeight="12.75" x14ac:dyDescent="0.2"/>
  <sheetData>
    <row r="1" spans="1:8" x14ac:dyDescent="0.2">
      <c r="A1" t="s">
        <v>106</v>
      </c>
      <c r="B1" t="s">
        <v>77</v>
      </c>
      <c r="C1" t="s">
        <v>82</v>
      </c>
      <c r="D1" t="s">
        <v>83</v>
      </c>
      <c r="E1" t="s">
        <v>85</v>
      </c>
      <c r="F1" t="s">
        <v>81</v>
      </c>
      <c r="G1" t="s">
        <v>84</v>
      </c>
      <c r="H1" t="s">
        <v>86</v>
      </c>
    </row>
    <row r="2" spans="1:8" x14ac:dyDescent="0.2">
      <c r="A2">
        <v>2</v>
      </c>
      <c r="B2" s="26" t="s">
        <v>87</v>
      </c>
      <c r="C2">
        <v>11963137</v>
      </c>
      <c r="D2">
        <v>-88</v>
      </c>
      <c r="E2">
        <v>281</v>
      </c>
      <c r="F2">
        <v>-1</v>
      </c>
      <c r="G2">
        <v>-88</v>
      </c>
      <c r="H2">
        <v>281</v>
      </c>
    </row>
    <row r="3" spans="1:8" x14ac:dyDescent="0.2">
      <c r="A3">
        <v>3</v>
      </c>
      <c r="B3" t="s">
        <v>88</v>
      </c>
      <c r="C3">
        <v>11963169</v>
      </c>
      <c r="D3">
        <v>-120</v>
      </c>
      <c r="E3">
        <v>249</v>
      </c>
      <c r="F3">
        <v>-1</v>
      </c>
      <c r="G3">
        <f>D3</f>
        <v>-120</v>
      </c>
      <c r="H3">
        <f>E3</f>
        <v>249</v>
      </c>
    </row>
    <row r="4" spans="1:8" x14ac:dyDescent="0.2">
      <c r="A4">
        <v>4</v>
      </c>
      <c r="B4" t="s">
        <v>89</v>
      </c>
      <c r="C4">
        <v>11963217</v>
      </c>
      <c r="D4">
        <v>-168</v>
      </c>
      <c r="E4">
        <v>201</v>
      </c>
      <c r="F4">
        <v>-1</v>
      </c>
      <c r="G4">
        <f t="shared" ref="G4:G16" si="0">D4</f>
        <v>-168</v>
      </c>
      <c r="H4">
        <f t="shared" ref="H4:H16" si="1">E4</f>
        <v>201</v>
      </c>
    </row>
    <row r="5" spans="1:8" x14ac:dyDescent="0.2">
      <c r="A5">
        <v>5</v>
      </c>
      <c r="B5" t="s">
        <v>90</v>
      </c>
      <c r="C5">
        <v>11963236</v>
      </c>
      <c r="D5">
        <v>-187</v>
      </c>
      <c r="E5">
        <v>182</v>
      </c>
      <c r="F5">
        <v>-1</v>
      </c>
      <c r="G5">
        <f t="shared" si="0"/>
        <v>-187</v>
      </c>
      <c r="H5">
        <f t="shared" si="1"/>
        <v>182</v>
      </c>
    </row>
    <row r="6" spans="1:8" x14ac:dyDescent="0.2">
      <c r="A6">
        <v>6</v>
      </c>
      <c r="B6" t="s">
        <v>91</v>
      </c>
      <c r="C6">
        <v>11963282</v>
      </c>
      <c r="D6">
        <v>-233</v>
      </c>
      <c r="E6">
        <v>136</v>
      </c>
      <c r="F6">
        <v>-1</v>
      </c>
      <c r="G6">
        <f t="shared" si="0"/>
        <v>-233</v>
      </c>
      <c r="H6">
        <f t="shared" si="1"/>
        <v>136</v>
      </c>
    </row>
    <row r="7" spans="1:8" x14ac:dyDescent="0.2">
      <c r="A7">
        <v>7</v>
      </c>
      <c r="B7" t="s">
        <v>92</v>
      </c>
      <c r="C7">
        <v>11963297</v>
      </c>
      <c r="D7">
        <v>-248</v>
      </c>
      <c r="E7">
        <v>121</v>
      </c>
      <c r="F7">
        <v>-1</v>
      </c>
      <c r="G7">
        <f t="shared" si="0"/>
        <v>-248</v>
      </c>
      <c r="H7">
        <f t="shared" si="1"/>
        <v>121</v>
      </c>
    </row>
    <row r="8" spans="1:8" x14ac:dyDescent="0.2">
      <c r="A8">
        <v>8</v>
      </c>
      <c r="B8" t="s">
        <v>93</v>
      </c>
      <c r="C8">
        <v>11963306</v>
      </c>
      <c r="D8">
        <v>-257</v>
      </c>
      <c r="E8">
        <v>112</v>
      </c>
      <c r="F8">
        <v>-1</v>
      </c>
      <c r="G8">
        <f t="shared" si="0"/>
        <v>-257</v>
      </c>
      <c r="H8">
        <f t="shared" si="1"/>
        <v>112</v>
      </c>
    </row>
    <row r="9" spans="1:8" x14ac:dyDescent="0.2">
      <c r="A9">
        <v>9</v>
      </c>
      <c r="B9" t="s">
        <v>94</v>
      </c>
      <c r="C9">
        <v>11963316</v>
      </c>
      <c r="D9">
        <v>-267</v>
      </c>
      <c r="E9">
        <v>102</v>
      </c>
      <c r="F9">
        <v>-1</v>
      </c>
      <c r="G9">
        <f t="shared" si="0"/>
        <v>-267</v>
      </c>
      <c r="H9">
        <f t="shared" si="1"/>
        <v>102</v>
      </c>
    </row>
    <row r="10" spans="1:8" x14ac:dyDescent="0.2">
      <c r="A10">
        <v>10</v>
      </c>
      <c r="B10" t="s">
        <v>95</v>
      </c>
      <c r="C10">
        <v>11963341</v>
      </c>
      <c r="D10">
        <v>-292</v>
      </c>
      <c r="E10">
        <v>77</v>
      </c>
      <c r="F10">
        <v>-1</v>
      </c>
      <c r="G10">
        <f t="shared" si="0"/>
        <v>-292</v>
      </c>
      <c r="H10">
        <f t="shared" si="1"/>
        <v>77</v>
      </c>
    </row>
    <row r="11" spans="1:8" x14ac:dyDescent="0.2">
      <c r="A11">
        <v>11</v>
      </c>
      <c r="B11" t="s">
        <v>96</v>
      </c>
      <c r="C11">
        <v>11963345</v>
      </c>
      <c r="D11">
        <v>-296</v>
      </c>
      <c r="E11">
        <v>73</v>
      </c>
      <c r="F11">
        <v>-1</v>
      </c>
      <c r="G11">
        <f t="shared" si="0"/>
        <v>-296</v>
      </c>
      <c r="H11">
        <f t="shared" si="1"/>
        <v>73</v>
      </c>
    </row>
    <row r="12" spans="1:8" x14ac:dyDescent="0.2">
      <c r="A12">
        <v>12</v>
      </c>
      <c r="B12" t="s">
        <v>97</v>
      </c>
      <c r="C12">
        <v>11963370</v>
      </c>
      <c r="D12">
        <v>-321</v>
      </c>
      <c r="E12">
        <v>48</v>
      </c>
      <c r="F12">
        <v>-1</v>
      </c>
      <c r="G12">
        <f t="shared" si="0"/>
        <v>-321</v>
      </c>
      <c r="H12">
        <f t="shared" si="1"/>
        <v>48</v>
      </c>
    </row>
    <row r="13" spans="1:8" x14ac:dyDescent="0.2">
      <c r="A13">
        <v>13</v>
      </c>
      <c r="B13" t="s">
        <v>98</v>
      </c>
      <c r="C13">
        <v>11963402</v>
      </c>
      <c r="D13">
        <v>-353</v>
      </c>
      <c r="E13">
        <v>16</v>
      </c>
      <c r="F13">
        <v>-1</v>
      </c>
      <c r="G13">
        <f t="shared" si="0"/>
        <v>-353</v>
      </c>
      <c r="H13">
        <f t="shared" si="1"/>
        <v>16</v>
      </c>
    </row>
    <row r="14" spans="1:8" x14ac:dyDescent="0.2">
      <c r="A14">
        <v>14</v>
      </c>
      <c r="B14" t="s">
        <v>99</v>
      </c>
      <c r="C14">
        <v>11963430</v>
      </c>
      <c r="D14">
        <v>-381</v>
      </c>
      <c r="E14">
        <v>-12</v>
      </c>
      <c r="F14">
        <v>-1</v>
      </c>
      <c r="G14">
        <f t="shared" si="0"/>
        <v>-381</v>
      </c>
      <c r="H14">
        <f t="shared" si="1"/>
        <v>-12</v>
      </c>
    </row>
    <row r="15" spans="1:8" x14ac:dyDescent="0.2">
      <c r="A15">
        <v>15</v>
      </c>
      <c r="B15" t="s">
        <v>100</v>
      </c>
      <c r="C15">
        <v>11963452</v>
      </c>
      <c r="D15">
        <v>-403</v>
      </c>
      <c r="E15">
        <v>-34</v>
      </c>
      <c r="F15">
        <v>-1</v>
      </c>
      <c r="G15">
        <f t="shared" si="0"/>
        <v>-403</v>
      </c>
      <c r="H15">
        <f t="shared" si="1"/>
        <v>-34</v>
      </c>
    </row>
    <row r="16" spans="1:8" x14ac:dyDescent="0.2">
      <c r="A16">
        <v>17</v>
      </c>
      <c r="B16" t="s">
        <v>101</v>
      </c>
      <c r="C16">
        <v>11963068</v>
      </c>
      <c r="D16">
        <v>-19</v>
      </c>
      <c r="E16">
        <v>350</v>
      </c>
      <c r="F16">
        <v>-1</v>
      </c>
      <c r="G16">
        <f t="shared" si="0"/>
        <v>-19</v>
      </c>
      <c r="H16">
        <f t="shared" si="1"/>
        <v>350</v>
      </c>
    </row>
    <row r="17" spans="1:8" x14ac:dyDescent="0.2">
      <c r="A17">
        <v>18</v>
      </c>
      <c r="B17" t="s">
        <v>102</v>
      </c>
      <c r="C17">
        <v>11963054</v>
      </c>
      <c r="D17">
        <v>-5</v>
      </c>
      <c r="E17">
        <v>364</v>
      </c>
      <c r="F17">
        <v>-1</v>
      </c>
      <c r="G17">
        <f t="shared" ref="G17:G20" si="2">D17</f>
        <v>-5</v>
      </c>
      <c r="H17">
        <f t="shared" ref="H17:H20" si="3">E17</f>
        <v>364</v>
      </c>
    </row>
    <row r="18" spans="1:8" x14ac:dyDescent="0.2">
      <c r="A18">
        <v>19</v>
      </c>
      <c r="B18" t="s">
        <v>103</v>
      </c>
      <c r="C18">
        <v>11963050</v>
      </c>
      <c r="D18">
        <v>-1</v>
      </c>
      <c r="E18">
        <v>368</v>
      </c>
      <c r="F18">
        <v>-1</v>
      </c>
      <c r="G18">
        <f t="shared" si="2"/>
        <v>-1</v>
      </c>
      <c r="H18">
        <f t="shared" si="3"/>
        <v>368</v>
      </c>
    </row>
    <row r="19" spans="1:8" x14ac:dyDescent="0.2">
      <c r="A19">
        <v>20</v>
      </c>
      <c r="B19" t="s">
        <v>104</v>
      </c>
      <c r="C19">
        <v>11963046</v>
      </c>
      <c r="D19">
        <v>3</v>
      </c>
      <c r="E19">
        <v>372</v>
      </c>
      <c r="F19">
        <v>-1</v>
      </c>
      <c r="G19">
        <f t="shared" si="2"/>
        <v>3</v>
      </c>
      <c r="H19">
        <f t="shared" si="3"/>
        <v>372</v>
      </c>
    </row>
    <row r="20" spans="1:8" x14ac:dyDescent="0.2">
      <c r="A20">
        <v>21</v>
      </c>
      <c r="B20" t="s">
        <v>105</v>
      </c>
      <c r="C20">
        <v>11962940</v>
      </c>
      <c r="D20">
        <v>109</v>
      </c>
      <c r="E20">
        <v>478</v>
      </c>
      <c r="F20">
        <v>-1</v>
      </c>
      <c r="G20">
        <f t="shared" si="2"/>
        <v>109</v>
      </c>
      <c r="H20">
        <f t="shared" si="3"/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L4440</vt:lpstr>
      <vt:lpstr>g2</vt:lpstr>
      <vt:lpstr>g3</vt:lpstr>
      <vt:lpstr>g4</vt:lpstr>
      <vt:lpstr>g5</vt:lpstr>
      <vt:lpstr>g6</vt:lpstr>
      <vt:lpstr>g7</vt:lpstr>
      <vt:lpstr>g8</vt:lpstr>
      <vt:lpstr>g9</vt:lpstr>
      <vt:lpstr>g10</vt:lpstr>
      <vt:lpstr>g11</vt:lpstr>
      <vt:lpstr>g12</vt:lpstr>
      <vt:lpstr>g13</vt:lpstr>
      <vt:lpstr>g15</vt:lpstr>
      <vt:lpstr>g14</vt:lpstr>
      <vt:lpstr>g17</vt:lpstr>
      <vt:lpstr>g18</vt:lpstr>
      <vt:lpstr>g19</vt:lpstr>
      <vt:lpstr>g20</vt:lpstr>
      <vt:lpstr>g21</vt:lpstr>
      <vt:lpstr>scores</vt:lpstr>
      <vt:lpstr>sgRNAs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DeMarco</dc:creator>
  <cp:lastModifiedBy>Jackson Rutecki</cp:lastModifiedBy>
  <dcterms:created xsi:type="dcterms:W3CDTF">2025-04-02T17:12:34Z</dcterms:created>
  <dcterms:modified xsi:type="dcterms:W3CDTF">2025-04-02T20:39:22Z</dcterms:modified>
</cp:coreProperties>
</file>